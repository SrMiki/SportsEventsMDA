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i\Desktop\Seguimientos MDA\"/>
    </mc:Choice>
  </mc:AlternateContent>
  <xr:revisionPtr revIDLastSave="0" documentId="13_ncr:1_{2F83A889-C16D-4975-9229-A4A70E1FC29D}" xr6:coauthVersionLast="45" xr6:coauthVersionMax="45" xr10:uidLastSave="{00000000-0000-0000-0000-000000000000}"/>
  <bookViews>
    <workbookView xWindow="-120" yWindow="-120" windowWidth="20730" windowHeight="11310" tabRatio="367" xr2:uid="{0800FAAA-AE92-4017-8595-EEC2C418C51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2" i="1" l="1"/>
  <c r="K10" i="1"/>
  <c r="J13" i="1"/>
  <c r="C30" i="1" l="1"/>
  <c r="D22" i="1" l="1"/>
  <c r="E22" i="1"/>
  <c r="F22" i="1"/>
  <c r="G22" i="1"/>
  <c r="H22" i="1"/>
  <c r="I21" i="1"/>
  <c r="J21" i="1" s="1"/>
  <c r="I20" i="1"/>
  <c r="J20" i="1" s="1"/>
  <c r="I19" i="1"/>
  <c r="J19" i="1" s="1"/>
  <c r="I17" i="1"/>
  <c r="J17" i="1" s="1"/>
  <c r="I16" i="1"/>
  <c r="J16" i="1" s="1"/>
  <c r="I18" i="1"/>
  <c r="C22" i="1"/>
  <c r="I22" i="1" l="1"/>
  <c r="J18" i="1"/>
  <c r="J22" i="1" s="1"/>
  <c r="G10" i="1"/>
  <c r="G11" i="1" s="1"/>
  <c r="F10" i="1" l="1"/>
  <c r="J10" i="1" s="1"/>
  <c r="H10" i="1"/>
  <c r="H11" i="1" s="1"/>
  <c r="I10" i="1"/>
  <c r="I11" i="1" s="1"/>
  <c r="F11" i="1" l="1"/>
  <c r="J11" i="1" s="1"/>
  <c r="J4" i="1"/>
  <c r="J5" i="1"/>
  <c r="J6" i="1"/>
  <c r="J7" i="1"/>
  <c r="J8" i="1"/>
  <c r="J9" i="1"/>
  <c r="J3" i="1"/>
  <c r="B3" i="1" s="1"/>
  <c r="B4" i="1" l="1"/>
  <c r="B5" i="1" s="1"/>
  <c r="B6" i="1" s="1"/>
  <c r="B7" i="1" s="1"/>
  <c r="B8" i="1" s="1"/>
  <c r="K6" i="2"/>
  <c r="K17" i="2" s="1"/>
  <c r="E17" i="2"/>
  <c r="E9" i="2"/>
  <c r="V8" i="1"/>
  <c r="S3" i="1" s="1"/>
  <c r="S5" i="1" s="1"/>
  <c r="O8" i="1" s="1"/>
  <c r="K9" i="2" l="1"/>
  <c r="O9" i="1" l="1"/>
</calcChain>
</file>

<file path=xl/sharedStrings.xml><?xml version="1.0" encoding="utf-8"?>
<sst xmlns="http://schemas.openxmlformats.org/spreadsheetml/2006/main" count="92" uniqueCount="74">
  <si>
    <t>Teórico</t>
  </si>
  <si>
    <t>Real</t>
  </si>
  <si>
    <t>Alejandro</t>
  </si>
  <si>
    <t>Diego</t>
  </si>
  <si>
    <t>Kevin</t>
  </si>
  <si>
    <t>Miki</t>
  </si>
  <si>
    <t>Jueves</t>
  </si>
  <si>
    <t>Viernes</t>
  </si>
  <si>
    <t>Lunes</t>
  </si>
  <si>
    <t>Martes</t>
  </si>
  <si>
    <t>Miércoles</t>
  </si>
  <si>
    <t>TOTAL</t>
  </si>
  <si>
    <t>Dias</t>
  </si>
  <si>
    <t>Cálculo velocidad</t>
  </si>
  <si>
    <t>Miembro</t>
  </si>
  <si>
    <t>Días</t>
  </si>
  <si>
    <t>Horas/Día</t>
  </si>
  <si>
    <t>Total horas (Estimación Esfuerzo)</t>
  </si>
  <si>
    <t>Miguel</t>
  </si>
  <si>
    <t>Total disponibilidad</t>
  </si>
  <si>
    <t>Factor de foco</t>
  </si>
  <si>
    <t>Velocidad estimada</t>
  </si>
  <si>
    <t>Calculo del factor de foco</t>
  </si>
  <si>
    <t>Velocidad</t>
  </si>
  <si>
    <t>Velocidad/Dias</t>
  </si>
  <si>
    <t>Inicio sesión</t>
  </si>
  <si>
    <t>Cerrar sesión</t>
  </si>
  <si>
    <t>Registro de usuario</t>
  </si>
  <si>
    <t>Listar prueba</t>
  </si>
  <si>
    <t>Crear prueba</t>
  </si>
  <si>
    <t>Actualizar prueba</t>
  </si>
  <si>
    <t>Eliminar prueba</t>
  </si>
  <si>
    <t>HU14</t>
  </si>
  <si>
    <t>Listar campeonatos</t>
  </si>
  <si>
    <t>HU15</t>
  </si>
  <si>
    <t>Crear campeonato</t>
  </si>
  <si>
    <t>HU16</t>
  </si>
  <si>
    <t>Actualizar campeonato</t>
  </si>
  <si>
    <t>HU17</t>
  </si>
  <si>
    <t>Eliminar campeonato</t>
  </si>
  <si>
    <t>HU18</t>
  </si>
  <si>
    <t>Añadir clasificación</t>
  </si>
  <si>
    <t>HU22</t>
  </si>
  <si>
    <t xml:space="preserve">Listar club </t>
  </si>
  <si>
    <t>HU23</t>
  </si>
  <si>
    <t xml:space="preserve">Ver Club </t>
  </si>
  <si>
    <t>HU24</t>
  </si>
  <si>
    <t xml:space="preserve">Crear club </t>
  </si>
  <si>
    <t>HU25</t>
  </si>
  <si>
    <t>Actualizar club</t>
  </si>
  <si>
    <t>HU26</t>
  </si>
  <si>
    <t>Eliminar club</t>
  </si>
  <si>
    <t>CRUD club</t>
  </si>
  <si>
    <t>CRUD campeonatos</t>
  </si>
  <si>
    <t>HU12</t>
  </si>
  <si>
    <t>Inscripción prueba</t>
  </si>
  <si>
    <t>HU13</t>
  </si>
  <si>
    <t>Cancelar inscripción</t>
  </si>
  <si>
    <t>Seguimiento</t>
  </si>
  <si>
    <t>Horas a computar</t>
  </si>
  <si>
    <t>HU19</t>
  </si>
  <si>
    <t xml:space="preserve">Ver perfil </t>
  </si>
  <si>
    <t>HU20</t>
  </si>
  <si>
    <t>Editar perfil</t>
  </si>
  <si>
    <t>HU27</t>
  </si>
  <si>
    <t>Solicitud administrador</t>
  </si>
  <si>
    <t>HU21</t>
  </si>
  <si>
    <t xml:space="preserve">Ver historial pruebas </t>
  </si>
  <si>
    <t>ID</t>
  </si>
  <si>
    <t>Nombre</t>
  </si>
  <si>
    <t>Estimación</t>
  </si>
  <si>
    <t>REAL</t>
  </si>
  <si>
    <t>Ale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</si>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</sst>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ourier New"/>
      <family val="3"/>
    </font>
    <font>
      <b/>
      <sz val="11"/>
      <color rgb="FF000000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sz val="12"/>
      <color rgb="FF000000"/>
      <name val="Courier New"/>
      <family val="3"/>
    </font>
    <font>
      <sz val="12"/>
      <color theme="1"/>
      <name val="Courier New"/>
      <family val="3"/>
    </font>
    <font>
      <b/>
      <sz val="10"/>
      <color theme="1"/>
      <name val="Courier New"/>
      <family val="3"/>
    </font>
    <font>
      <b/>
      <sz val="10"/>
      <color rgb="FF000000"/>
      <name val="Courier New"/>
      <family val="3"/>
    </font>
    <font>
      <sz val="10"/>
      <color rgb="FF000000"/>
      <name val="Courier New"/>
      <family val="3"/>
    </font>
    <font>
      <sz val="10"/>
      <color theme="1"/>
      <name val="Courier New"/>
      <family val="3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Courier New"/>
      <family val="3"/>
    </font>
    <font>
      <b/>
      <sz val="16"/>
      <color theme="1"/>
      <name val="Courier New"/>
      <family val="3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ED7D3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9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/>
      <bottom style="thick">
        <color rgb="FF4472C4"/>
      </bottom>
      <diagonal/>
    </border>
    <border>
      <left/>
      <right style="medium">
        <color rgb="FF9CC2E5"/>
      </right>
      <top/>
      <bottom style="thick">
        <color rgb="FF4472C4"/>
      </bottom>
      <diagonal/>
    </border>
    <border>
      <left style="medium">
        <color rgb="FF9CC2E5"/>
      </left>
      <right/>
      <top style="thick">
        <color rgb="FF4472C4"/>
      </top>
      <bottom style="medium">
        <color rgb="FF9CC2E5"/>
      </bottom>
      <diagonal/>
    </border>
    <border>
      <left/>
      <right/>
      <top style="thick">
        <color rgb="FF4472C4"/>
      </top>
      <bottom style="medium">
        <color rgb="FF9CC2E5"/>
      </bottom>
      <diagonal/>
    </border>
    <border>
      <left/>
      <right style="medium">
        <color rgb="FF9CC2E5"/>
      </right>
      <top style="thick">
        <color rgb="FF4472C4"/>
      </top>
      <bottom style="medium">
        <color rgb="FF9CC2E5"/>
      </bottom>
      <diagonal/>
    </border>
    <border>
      <left style="medium">
        <color rgb="FF9CC2E5"/>
      </left>
      <right/>
      <top style="medium">
        <color rgb="FF9CC2E5"/>
      </top>
      <bottom style="medium">
        <color rgb="FF9CC2E5"/>
      </bottom>
      <diagonal/>
    </border>
    <border>
      <left/>
      <right/>
      <top style="medium">
        <color rgb="FF9CC2E5"/>
      </top>
      <bottom style="medium">
        <color rgb="FF9CC2E5"/>
      </bottom>
      <diagonal/>
    </border>
    <border>
      <left/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/>
      <right style="medium">
        <color rgb="FFF4B083"/>
      </right>
      <top style="thin">
        <color theme="5"/>
      </top>
      <bottom style="medium">
        <color rgb="FFF4B083"/>
      </bottom>
      <diagonal/>
    </border>
    <border>
      <left/>
      <right style="medium">
        <color rgb="FFF4B083"/>
      </right>
      <top style="thin">
        <color theme="5"/>
      </top>
      <bottom/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A8D08D"/>
      </right>
      <top style="medium">
        <color rgb="FF70AD47"/>
      </top>
      <bottom style="medium">
        <color rgb="FF70AD47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70AD47"/>
      </left>
      <right/>
      <top style="double">
        <color rgb="FF70AD47"/>
      </top>
      <bottom style="medium">
        <color rgb="FF70AD47"/>
      </bottom>
      <diagonal/>
    </border>
    <border>
      <left/>
      <right/>
      <top style="double">
        <color rgb="FF70AD47"/>
      </top>
      <bottom style="medium">
        <color rgb="FF70AD47"/>
      </bottom>
      <diagonal/>
    </border>
    <border>
      <left/>
      <right style="medium">
        <color rgb="FFA8D08D"/>
      </right>
      <top style="double">
        <color rgb="FF70AD47"/>
      </top>
      <bottom style="medium">
        <color rgb="FF70AD4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F4B083"/>
      </left>
      <right style="medium">
        <color rgb="FFF4B083"/>
      </right>
      <top/>
      <bottom style="medium">
        <color rgb="FFF4B083"/>
      </bottom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 style="medium">
        <color rgb="FFF4B083"/>
      </right>
      <top/>
      <bottom style="medium">
        <color rgb="FFF4B083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24" applyNumberFormat="0" applyFont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2" fillId="13" borderId="0" applyNumberFormat="0" applyBorder="0" applyAlignment="0" applyProtection="0"/>
  </cellStyleXfs>
  <cellXfs count="6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wrapText="1"/>
    </xf>
    <xf numFmtId="0" fontId="10" fillId="7" borderId="17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vertical="center" wrapText="1"/>
    </xf>
    <xf numFmtId="0" fontId="11" fillId="7" borderId="19" xfId="0" applyFont="1" applyFill="1" applyBorder="1" applyAlignment="1">
      <alignment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>
      <alignment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vertical="center" wrapText="1"/>
    </xf>
    <xf numFmtId="0" fontId="11" fillId="9" borderId="23" xfId="0" applyFont="1" applyFill="1" applyBorder="1" applyAlignment="1">
      <alignment vertical="center" wrapText="1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10" borderId="24" xfId="3" applyFont="1" applyAlignment="1">
      <alignment horizontal="center" vertical="center"/>
    </xf>
    <xf numFmtId="0" fontId="0" fillId="10" borderId="24" xfId="3" applyFont="1" applyAlignment="1">
      <alignment horizontal="center" vertical="center"/>
    </xf>
    <xf numFmtId="0" fontId="2" fillId="10" borderId="24" xfId="3" applyAlignment="1">
      <alignment horizontal="center" vertical="center"/>
    </xf>
    <xf numFmtId="0" fontId="17" fillId="11" borderId="0" xfId="4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2" borderId="0" xfId="5" applyAlignment="1">
      <alignment horizontal="center" vertical="center"/>
    </xf>
    <xf numFmtId="0" fontId="16" fillId="12" borderId="0" xfId="5" applyBorder="1" applyAlignment="1">
      <alignment horizontal="center" vertical="center"/>
    </xf>
    <xf numFmtId="0" fontId="2" fillId="13" borderId="0" xfId="6" applyBorder="1" applyAlignment="1">
      <alignment horizontal="center" vertical="center"/>
    </xf>
    <xf numFmtId="0" fontId="2" fillId="13" borderId="0" xfId="6" applyAlignment="1">
      <alignment horizontal="center" vertical="center"/>
    </xf>
    <xf numFmtId="0" fontId="4" fillId="6" borderId="25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18" fillId="14" borderId="26" xfId="0" applyFont="1" applyFill="1" applyBorder="1" applyAlignment="1">
      <alignment vertical="center" wrapText="1"/>
    </xf>
    <xf numFmtId="0" fontId="18" fillId="14" borderId="27" xfId="0" applyFont="1" applyFill="1" applyBorder="1" applyAlignment="1">
      <alignment vertical="center" wrapText="1"/>
    </xf>
    <xf numFmtId="0" fontId="18" fillId="14" borderId="26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15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4" fillId="5" borderId="11" xfId="0" applyFont="1" applyFill="1" applyBorder="1" applyAlignment="1">
      <alignment horizontal="right" vertical="center" wrapText="1"/>
    </xf>
    <xf numFmtId="0" fontId="4" fillId="5" borderId="12" xfId="0" applyFont="1" applyFill="1" applyBorder="1" applyAlignment="1">
      <alignment horizontal="right" vertical="center" wrapText="1"/>
    </xf>
    <xf numFmtId="0" fontId="4" fillId="5" borderId="13" xfId="0" applyFont="1" applyFill="1" applyBorder="1" applyAlignment="1">
      <alignment horizontal="right" vertical="center" wrapText="1"/>
    </xf>
    <xf numFmtId="0" fontId="17" fillId="11" borderId="0" xfId="4" applyFont="1" applyAlignment="1">
      <alignment horizontal="center" vertical="center"/>
    </xf>
  </cellXfs>
  <cellStyles count="7">
    <cellStyle name="20% - Énfasis4" xfId="6" builtinId="42"/>
    <cellStyle name="40% - Énfasis1" xfId="1" builtinId="31"/>
    <cellStyle name="40% - Énfasis3" xfId="2" builtinId="39"/>
    <cellStyle name="Énfasis1" xfId="4" builtinId="29"/>
    <cellStyle name="Énfasis5" xfId="5" builtinId="45"/>
    <cellStyle name="Normal" xfId="0" builtinId="0"/>
    <cellStyle name="Notas" xfId="3" builtinId="1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ES" sz="1100"/>
              <a:t>METODOLOGÍAs</a:t>
            </a:r>
            <a:r>
              <a:rPr lang="es-ES" sz="1100" baseline="0"/>
              <a:t> DE DESARROLLO ÁGIL</a:t>
            </a:r>
          </a:p>
          <a:p>
            <a:pPr>
              <a:defRPr sz="1100"/>
            </a:pPr>
            <a:r>
              <a:rPr lang="es-ES" sz="1100" baseline="0"/>
              <a:t>Sportsevents</a:t>
            </a:r>
          </a:p>
          <a:p>
            <a:pPr>
              <a:defRPr sz="1100"/>
            </a:pPr>
            <a:r>
              <a:rPr lang="es-ES" sz="1100"/>
              <a:t>SPRINT</a:t>
            </a:r>
            <a:r>
              <a:rPr lang="es-ES" sz="1100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6717976834387005"/>
          <c:y val="0.14053147704363042"/>
          <c:w val="0.71974952731220465"/>
          <c:h val="0.68838811203829886"/>
        </c:manualLayout>
      </c:layout>
      <c:lineChart>
        <c:grouping val="standard"/>
        <c:varyColors val="0"/>
        <c:ser>
          <c:idx val="1"/>
          <c:order val="0"/>
          <c:tx>
            <c:strRef>
              <c:f>Hoja1!$B$1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Hoja1!$B$2:$B$9</c:f>
              <c:numCache>
                <c:formatCode>General</c:formatCode>
                <c:ptCount val="8"/>
                <c:pt idx="0">
                  <c:v>47</c:v>
                </c:pt>
                <c:pt idx="1">
                  <c:v>40.35</c:v>
                </c:pt>
                <c:pt idx="2">
                  <c:v>35.85</c:v>
                </c:pt>
                <c:pt idx="3">
                  <c:v>28.85</c:v>
                </c:pt>
                <c:pt idx="4">
                  <c:v>25.150000000000002</c:v>
                </c:pt>
                <c:pt idx="5">
                  <c:v>12.150000000000002</c:v>
                </c:pt>
                <c:pt idx="6">
                  <c:v>4.1500000000000021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AA-47D5-B728-BA66BCC16A1C}"/>
            </c:ext>
          </c:extLst>
        </c:ser>
        <c:ser>
          <c:idx val="2"/>
          <c:order val="1"/>
          <c:tx>
            <c:strRef>
              <c:f>Hoja1!$C$1</c:f>
              <c:strCache>
                <c:ptCount val="1"/>
                <c:pt idx="0">
                  <c:v>Teórico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Hoja1!$C$2:$C$9</c:f>
              <c:numCache>
                <c:formatCode>General</c:formatCode>
                <c:ptCount val="8"/>
                <c:pt idx="0">
                  <c:v>47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AA-47D5-B728-BA66BCC16A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9075216"/>
        <c:axId val="539077512"/>
      </c:lineChart>
      <c:catAx>
        <c:axId val="53907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/>
                  <a:t>Días del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9077512"/>
        <c:crosses val="autoZero"/>
        <c:auto val="1"/>
        <c:lblAlgn val="ctr"/>
        <c:lblOffset val="100"/>
        <c:tickLblSkip val="1"/>
        <c:noMultiLvlLbl val="0"/>
      </c:catAx>
      <c:valAx>
        <c:axId val="539077512"/>
        <c:scaling>
          <c:orientation val="minMax"/>
          <c:max val="5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/>
                  <a:t>Esfuerzo</a:t>
                </a:r>
                <a:r>
                  <a:rPr lang="es-ES" sz="1400" baseline="0"/>
                  <a:t> pendiente</a:t>
                </a:r>
                <a:endParaRPr lang="es-ES" sz="1400"/>
              </a:p>
            </c:rich>
          </c:tx>
          <c:layout>
            <c:manualLayout>
              <c:xMode val="edge"/>
              <c:yMode val="edge"/>
              <c:x val="2.2802613909678068E-2"/>
              <c:y val="0.27228695493429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9075216"/>
        <c:crossesAt val="1"/>
        <c:crossBetween val="midCat"/>
        <c:majorUnit val="8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37420</xdr:rowOff>
    </xdr:from>
    <xdr:to>
      <xdr:col>9</xdr:col>
      <xdr:colOff>0</xdr:colOff>
      <xdr:row>62</xdr:row>
      <xdr:rowOff>156482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28C71E-8637-47B6-BCE6-C00F0775D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72555D-14F9-4C6E-AD8D-56971D6A30D5}" name="Tabla3" displayName="Tabla3" ref="A1:C9" totalsRowShown="0" dataDxfId="14" tableBorderDxfId="13">
  <autoFilter ref="A1:C9" xr:uid="{47E11D0D-F6B3-499C-A810-2A0B0354A968}"/>
  <tableColumns count="3">
    <tableColumn id="1" xr3:uid="{9E183B51-7338-44F7-8ADE-AC0F87B26FF1}" name="Dias" dataDxfId="12"/>
    <tableColumn id="2" xr3:uid="{5DAC9E35-AEFE-4E43-97E1-6BCA6DD60DFF}" name="Real" dataDxfId="11"/>
    <tableColumn id="3" xr3:uid="{497B81E3-205D-4DDC-9DE2-E0E082A784E7}" name="Teórico" dataDxfId="10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2B13DE-7F68-4C68-B567-565CF4D6A321}" name="Tabla6" displayName="Tabla6" ref="F2:I10" totalsRowCount="1" dataDxfId="9" totalsRowDxfId="8">
  <autoFilter ref="F2:I9" xr:uid="{226D8506-18F8-481C-8B61-CF8BD23261B5}"/>
  <tableColumns count="4">
    <tableColumn id="1" xr3:uid="{9243EFDF-7FE7-4E7A-A1F4-5859C385E407}" name="Alejandro" totalsRowFunction="sum" dataDxfId="7" totalsRowDxfId="6"/>
    <tableColumn id="2" xr3:uid="{F947D1AC-FE82-4277-9D3F-238D47E1589A}" name="Diego" totalsRowFunction="sum" dataDxfId="5" totalsRowDxfId="4"/>
    <tableColumn id="3" xr3:uid="{8E6E36B0-87C2-4632-A068-4BF1C6ABF46E}" name="Kevin" totalsRowFunction="sum" dataDxfId="3" totalsRowDxfId="2"/>
    <tableColumn id="4" xr3:uid="{DB41FDEE-8C70-4BBC-851A-7666668A7DDF}" name="Miki" totalsRowFunction="sum" dataDxfId="1" totalsRow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8BDB-152B-4201-B8EC-2CF579D08F49}">
  <dimension ref="A1:V31"/>
  <sheetViews>
    <sheetView tabSelected="1" topLeftCell="A8" zoomScale="85" zoomScaleNormal="85" workbookViewId="0">
      <selection activeCell="L16" sqref="L16"/>
    </sheetView>
  </sheetViews>
  <sheetFormatPr baseColWidth="10" defaultRowHeight="15" x14ac:dyDescent="0.25"/>
  <cols>
    <col min="1" max="1" width="13.7109375" bestFit="1" customWidth="1"/>
    <col min="2" max="2" width="18.42578125" bestFit="1" customWidth="1"/>
    <col min="3" max="3" width="17.7109375" bestFit="1" customWidth="1"/>
    <col min="4" max="4" width="12.42578125" customWidth="1"/>
    <col min="6" max="6" width="12.140625" customWidth="1"/>
    <col min="7" max="7" width="11.42578125" customWidth="1"/>
    <col min="8" max="8" width="13.5703125" bestFit="1" customWidth="1"/>
    <col min="10" max="10" width="23.140625" customWidth="1"/>
    <col min="14" max="14" width="18.42578125" customWidth="1"/>
    <col min="15" max="15" width="33.85546875" customWidth="1"/>
    <col min="18" max="18" width="17.85546875" customWidth="1"/>
    <col min="19" max="19" width="15.5703125" customWidth="1"/>
    <col min="22" max="22" width="18" customWidth="1"/>
  </cols>
  <sheetData>
    <row r="1" spans="1:22" ht="32.25" thickBot="1" x14ac:dyDescent="0.3">
      <c r="A1" s="1" t="s">
        <v>12</v>
      </c>
      <c r="B1" s="1" t="s">
        <v>1</v>
      </c>
      <c r="C1" s="1" t="s">
        <v>0</v>
      </c>
      <c r="D1" s="66" t="s">
        <v>58</v>
      </c>
      <c r="E1" s="66"/>
      <c r="F1" s="66"/>
      <c r="G1" s="66"/>
      <c r="H1" s="66"/>
      <c r="I1" s="66"/>
      <c r="J1" s="35" t="s">
        <v>59</v>
      </c>
      <c r="L1" s="57" t="s">
        <v>13</v>
      </c>
      <c r="M1" s="58"/>
      <c r="N1" s="58"/>
      <c r="O1" s="59"/>
      <c r="R1" s="55" t="s">
        <v>22</v>
      </c>
      <c r="S1" s="55"/>
      <c r="U1" s="11" t="s">
        <v>25</v>
      </c>
      <c r="V1" s="11">
        <v>12</v>
      </c>
    </row>
    <row r="2" spans="1:22" ht="37.5" customHeight="1" thickBot="1" x14ac:dyDescent="0.3">
      <c r="A2" s="32">
        <v>0</v>
      </c>
      <c r="B2" s="31">
        <v>47</v>
      </c>
      <c r="C2" s="31">
        <v>47</v>
      </c>
      <c r="D2" s="56" t="s">
        <v>12</v>
      </c>
      <c r="E2" s="56"/>
      <c r="F2" t="s">
        <v>2</v>
      </c>
      <c r="G2" t="s">
        <v>3</v>
      </c>
      <c r="H2" t="s">
        <v>4</v>
      </c>
      <c r="I2" t="s">
        <v>5</v>
      </c>
      <c r="J2" s="30" t="s">
        <v>11</v>
      </c>
      <c r="L2" s="3" t="s">
        <v>14</v>
      </c>
      <c r="M2" s="4" t="s">
        <v>15</v>
      </c>
      <c r="N2" s="4" t="s">
        <v>16</v>
      </c>
      <c r="O2" s="4" t="s">
        <v>17</v>
      </c>
      <c r="U2" s="12" t="s">
        <v>26</v>
      </c>
      <c r="V2" s="12">
        <v>3</v>
      </c>
    </row>
    <row r="3" spans="1:22" ht="44.25" customHeight="1" thickBot="1" x14ac:dyDescent="0.3">
      <c r="A3" s="33">
        <v>1</v>
      </c>
      <c r="B3" s="31">
        <f t="shared" ref="B3:B8" si="0">B2-J3</f>
        <v>40.35</v>
      </c>
      <c r="C3" s="30"/>
      <c r="D3" s="34" t="s">
        <v>6</v>
      </c>
      <c r="E3" s="29">
        <v>21</v>
      </c>
      <c r="F3" s="30">
        <v>2.5</v>
      </c>
      <c r="G3" s="30">
        <v>0</v>
      </c>
      <c r="H3" s="30">
        <v>2.65</v>
      </c>
      <c r="I3" s="30">
        <v>1.5</v>
      </c>
      <c r="J3" s="36">
        <f>SUM(Tabla6[#This Row])</f>
        <v>6.65</v>
      </c>
      <c r="L3" s="5" t="s">
        <v>2</v>
      </c>
      <c r="M3" s="6">
        <v>7</v>
      </c>
      <c r="N3" s="6">
        <v>2</v>
      </c>
      <c r="O3" s="6">
        <v>14</v>
      </c>
      <c r="R3" t="s">
        <v>23</v>
      </c>
      <c r="S3">
        <f>V8</f>
        <v>8.4642857142857135</v>
      </c>
      <c r="U3" s="11" t="s">
        <v>27</v>
      </c>
      <c r="V3" s="11">
        <v>6</v>
      </c>
    </row>
    <row r="4" spans="1:22" ht="32.25" thickBot="1" x14ac:dyDescent="0.3">
      <c r="A4" s="33">
        <v>2</v>
      </c>
      <c r="B4" s="31">
        <f t="shared" si="0"/>
        <v>35.85</v>
      </c>
      <c r="C4" s="30"/>
      <c r="D4" s="33" t="s">
        <v>7</v>
      </c>
      <c r="E4" s="30">
        <v>22</v>
      </c>
      <c r="F4" s="30">
        <v>1.5</v>
      </c>
      <c r="G4" s="30">
        <v>1</v>
      </c>
      <c r="H4" s="30">
        <v>2</v>
      </c>
      <c r="I4" s="30">
        <v>0</v>
      </c>
      <c r="J4" s="36">
        <f>SUM(Tabla6[#This Row])</f>
        <v>4.5</v>
      </c>
      <c r="L4" s="7" t="s">
        <v>3</v>
      </c>
      <c r="M4" s="8">
        <v>7</v>
      </c>
      <c r="N4" s="8">
        <v>2</v>
      </c>
      <c r="O4" s="8">
        <v>14</v>
      </c>
      <c r="R4" t="s">
        <v>12</v>
      </c>
      <c r="S4">
        <v>10</v>
      </c>
      <c r="U4" s="12" t="s">
        <v>28</v>
      </c>
      <c r="V4" s="12">
        <v>11.25</v>
      </c>
    </row>
    <row r="5" spans="1:22" ht="32.25" thickBot="1" x14ac:dyDescent="0.3">
      <c r="A5" s="33">
        <v>3</v>
      </c>
      <c r="B5" s="31">
        <f t="shared" si="0"/>
        <v>28.85</v>
      </c>
      <c r="C5" s="31"/>
      <c r="D5" s="34" t="s">
        <v>8</v>
      </c>
      <c r="E5" s="29">
        <v>25</v>
      </c>
      <c r="F5" s="30">
        <v>2</v>
      </c>
      <c r="G5" s="30">
        <v>2</v>
      </c>
      <c r="H5" s="30">
        <v>2</v>
      </c>
      <c r="I5" s="30">
        <v>1</v>
      </c>
      <c r="J5" s="36">
        <f>SUM(Tabla6[#This Row])</f>
        <v>7</v>
      </c>
      <c r="L5" s="5" t="s">
        <v>4</v>
      </c>
      <c r="M5" s="6">
        <v>7</v>
      </c>
      <c r="N5" s="6">
        <v>2</v>
      </c>
      <c r="O5" s="6">
        <v>14</v>
      </c>
      <c r="R5" t="s">
        <v>24</v>
      </c>
      <c r="S5">
        <f>S3/S4</f>
        <v>0.84642857142857131</v>
      </c>
      <c r="U5" s="11" t="s">
        <v>29</v>
      </c>
      <c r="V5" s="11">
        <v>12.5</v>
      </c>
    </row>
    <row r="6" spans="1:22" ht="48" thickBot="1" x14ac:dyDescent="0.3">
      <c r="A6" s="33">
        <v>4</v>
      </c>
      <c r="B6" s="31">
        <f t="shared" si="0"/>
        <v>25.150000000000002</v>
      </c>
      <c r="C6" s="31"/>
      <c r="D6" s="33" t="s">
        <v>9</v>
      </c>
      <c r="E6" s="30">
        <v>26</v>
      </c>
      <c r="F6" s="30"/>
      <c r="G6" s="30">
        <v>1.5</v>
      </c>
      <c r="H6" s="30"/>
      <c r="I6" s="30">
        <v>2.2000000000000002</v>
      </c>
      <c r="J6" s="36">
        <f>SUM(Tabla6[#This Row])</f>
        <v>3.7</v>
      </c>
      <c r="L6" s="9" t="s">
        <v>18</v>
      </c>
      <c r="M6" s="10">
        <v>7</v>
      </c>
      <c r="N6" s="10">
        <v>2</v>
      </c>
      <c r="O6" s="8">
        <v>14</v>
      </c>
      <c r="U6" s="12" t="s">
        <v>30</v>
      </c>
      <c r="V6" s="12">
        <v>10.5</v>
      </c>
    </row>
    <row r="7" spans="1:22" ht="48.75" thickTop="1" thickBot="1" x14ac:dyDescent="0.3">
      <c r="A7" s="33">
        <v>5</v>
      </c>
      <c r="B7" s="31">
        <f t="shared" si="0"/>
        <v>12.150000000000002</v>
      </c>
      <c r="C7" s="31"/>
      <c r="D7" s="34" t="s">
        <v>10</v>
      </c>
      <c r="E7" s="29">
        <v>27</v>
      </c>
      <c r="F7" s="30">
        <v>4</v>
      </c>
      <c r="G7" s="30">
        <v>3</v>
      </c>
      <c r="H7" s="30">
        <v>4</v>
      </c>
      <c r="I7" s="30">
        <v>2</v>
      </c>
      <c r="J7" s="36">
        <f>SUM(Tabla6[#This Row])</f>
        <v>13</v>
      </c>
      <c r="L7" s="60" t="s">
        <v>19</v>
      </c>
      <c r="M7" s="61"/>
      <c r="N7" s="62"/>
      <c r="O7" s="6">
        <v>56</v>
      </c>
      <c r="U7" s="13" t="s">
        <v>31</v>
      </c>
      <c r="V7" s="13">
        <v>4</v>
      </c>
    </row>
    <row r="8" spans="1:22" ht="23.25" customHeight="1" thickBot="1" x14ac:dyDescent="0.3">
      <c r="A8" s="39">
        <v>6</v>
      </c>
      <c r="B8" s="31">
        <f t="shared" si="0"/>
        <v>4.1500000000000021</v>
      </c>
      <c r="C8" s="30"/>
      <c r="D8" s="40" t="s">
        <v>6</v>
      </c>
      <c r="E8" s="30">
        <v>28</v>
      </c>
      <c r="F8" s="30">
        <v>2</v>
      </c>
      <c r="G8" s="30">
        <v>2</v>
      </c>
      <c r="H8" s="30"/>
      <c r="I8" s="30">
        <v>4</v>
      </c>
      <c r="J8" s="36">
        <f>SUM(Tabla6[#This Row])</f>
        <v>8</v>
      </c>
      <c r="L8" s="63" t="s">
        <v>20</v>
      </c>
      <c r="M8" s="64"/>
      <c r="N8" s="65"/>
      <c r="O8" s="14">
        <f>TRUNC(S5,2)</f>
        <v>0.84</v>
      </c>
      <c r="V8">
        <f>SUM(V1:V7)/7</f>
        <v>8.4642857142857135</v>
      </c>
    </row>
    <row r="9" spans="1:22" ht="23.25" customHeight="1" thickBot="1" x14ac:dyDescent="0.3">
      <c r="A9" s="38">
        <v>7</v>
      </c>
      <c r="B9" s="31">
        <v>0</v>
      </c>
      <c r="C9" s="31">
        <v>0</v>
      </c>
      <c r="D9" s="37" t="s">
        <v>7</v>
      </c>
      <c r="E9" s="29">
        <v>29</v>
      </c>
      <c r="F9" s="30">
        <v>3</v>
      </c>
      <c r="G9" s="30">
        <v>3</v>
      </c>
      <c r="H9" s="30">
        <v>4</v>
      </c>
      <c r="I9" s="30">
        <v>2.75</v>
      </c>
      <c r="J9" s="36">
        <f>SUM(Tabla6[#This Row])</f>
        <v>12.75</v>
      </c>
      <c r="L9" s="52" t="s">
        <v>21</v>
      </c>
      <c r="M9" s="53"/>
      <c r="N9" s="54"/>
      <c r="O9" s="6">
        <f>O8*O7</f>
        <v>47.04</v>
      </c>
    </row>
    <row r="10" spans="1:22" x14ac:dyDescent="0.25">
      <c r="A10" s="1"/>
      <c r="F10" s="30">
        <f>SUBTOTAL(109,Tabla6[Alejandro])</f>
        <v>15</v>
      </c>
      <c r="G10" s="30">
        <f>SUBTOTAL(109,Tabla6[Diego])</f>
        <v>12.5</v>
      </c>
      <c r="H10" s="30">
        <f>SUBTOTAL(109,Tabla6[Kevin])</f>
        <v>14.65</v>
      </c>
      <c r="I10" s="30">
        <f>SUBTOTAL(109,Tabla6[Miki])</f>
        <v>13.45</v>
      </c>
      <c r="J10" s="36">
        <f>SUM(Tabla6[[#Totals],[Alejandro]:[Miki]])</f>
        <v>55.599999999999994</v>
      </c>
      <c r="K10">
        <f>(46-J10)</f>
        <v>-9.5999999999999943</v>
      </c>
    </row>
    <row r="11" spans="1:22" x14ac:dyDescent="0.25">
      <c r="A11" s="1"/>
      <c r="F11">
        <f>Tabla6[[#Totals],[Alejandro]]-14</f>
        <v>1</v>
      </c>
      <c r="G11">
        <f>Tabla6[[#Totals],[Diego]]-14</f>
        <v>-1.5</v>
      </c>
      <c r="H11">
        <f>Tabla6[[#Totals],[Kevin]]-14</f>
        <v>0.65000000000000036</v>
      </c>
      <c r="I11">
        <f>Tabla6[[#Totals],[Miki]]-14</f>
        <v>-0.55000000000000071</v>
      </c>
      <c r="J11" s="36">
        <f>SUM(F11:I11)</f>
        <v>-0.40000000000000036</v>
      </c>
    </row>
    <row r="12" spans="1:22" x14ac:dyDescent="0.25">
      <c r="A12" s="1"/>
    </row>
    <row r="13" spans="1:22" x14ac:dyDescent="0.25">
      <c r="J13">
        <f>SUM(J3:J9)</f>
        <v>55.599999999999994</v>
      </c>
      <c r="N13">
        <v>56</v>
      </c>
      <c r="O13" t="s">
        <v>11</v>
      </c>
    </row>
    <row r="14" spans="1:22" ht="15.75" thickBot="1" x14ac:dyDescent="0.3">
      <c r="N14">
        <v>47</v>
      </c>
      <c r="O14" t="s">
        <v>73</v>
      </c>
    </row>
    <row r="15" spans="1:22" ht="15.75" thickBot="1" x14ac:dyDescent="0.3">
      <c r="A15" s="43" t="s">
        <v>68</v>
      </c>
      <c r="B15" s="44" t="s">
        <v>69</v>
      </c>
      <c r="C15" s="45" t="s">
        <v>70</v>
      </c>
      <c r="D15" s="45" t="s">
        <v>5</v>
      </c>
      <c r="E15" s="45" t="s">
        <v>72</v>
      </c>
      <c r="F15" s="45" t="s">
        <v>4</v>
      </c>
      <c r="G15" s="45" t="s">
        <v>3</v>
      </c>
      <c r="H15" s="45" t="s">
        <v>71</v>
      </c>
      <c r="I15" s="45" t="s">
        <v>11</v>
      </c>
      <c r="J15" s="45"/>
      <c r="K15" s="45" t="s">
        <v>70</v>
      </c>
      <c r="N15">
        <v>55</v>
      </c>
      <c r="O15" t="s">
        <v>71</v>
      </c>
    </row>
    <row r="16" spans="1:22" ht="30.75" thickBot="1" x14ac:dyDescent="0.3">
      <c r="A16" s="42" t="s">
        <v>54</v>
      </c>
      <c r="B16" s="47" t="s">
        <v>55</v>
      </c>
      <c r="C16" s="49">
        <v>8</v>
      </c>
      <c r="D16" s="42"/>
      <c r="E16" s="47">
        <v>3</v>
      </c>
      <c r="F16" s="42">
        <v>6.65</v>
      </c>
      <c r="G16" s="42">
        <v>6.5</v>
      </c>
      <c r="H16" s="47"/>
      <c r="I16" s="47">
        <f t="shared" ref="I16:I21" si="1">SUM(D16:H16)</f>
        <v>16.149999999999999</v>
      </c>
      <c r="J16" s="47">
        <f>K16-I16</f>
        <v>-8.1499999999999986</v>
      </c>
      <c r="K16" s="48">
        <v>8</v>
      </c>
    </row>
    <row r="17" spans="1:11" ht="30.75" thickBot="1" x14ac:dyDescent="0.3">
      <c r="A17" s="41" t="s">
        <v>56</v>
      </c>
      <c r="B17" s="46" t="s">
        <v>57</v>
      </c>
      <c r="C17" s="41">
        <v>4</v>
      </c>
      <c r="D17" s="41"/>
      <c r="E17" s="46">
        <v>2</v>
      </c>
      <c r="F17" s="41">
        <v>0.5</v>
      </c>
      <c r="G17" s="41">
        <v>3</v>
      </c>
      <c r="H17" s="46"/>
      <c r="I17" s="41">
        <f t="shared" si="1"/>
        <v>5.5</v>
      </c>
      <c r="J17" s="47">
        <f t="shared" ref="J17:J21" si="2">K17-I17</f>
        <v>-1.5</v>
      </c>
      <c r="K17" s="41">
        <v>4</v>
      </c>
    </row>
    <row r="18" spans="1:11" ht="16.5" thickBot="1" x14ac:dyDescent="0.3">
      <c r="A18" s="42" t="s">
        <v>60</v>
      </c>
      <c r="B18" s="47" t="s">
        <v>61</v>
      </c>
      <c r="C18" s="42">
        <v>8</v>
      </c>
      <c r="D18" s="42">
        <v>6</v>
      </c>
      <c r="E18" s="47"/>
      <c r="F18" s="42"/>
      <c r="G18" s="42">
        <v>1</v>
      </c>
      <c r="H18" s="47"/>
      <c r="I18" s="42">
        <f t="shared" si="1"/>
        <v>7</v>
      </c>
      <c r="J18" s="47">
        <f t="shared" si="2"/>
        <v>1</v>
      </c>
      <c r="K18" s="42">
        <v>8</v>
      </c>
    </row>
    <row r="19" spans="1:11" ht="16.5" thickBot="1" x14ac:dyDescent="0.3">
      <c r="A19" s="41" t="s">
        <v>62</v>
      </c>
      <c r="B19" s="46" t="s">
        <v>63</v>
      </c>
      <c r="C19" s="41">
        <v>8</v>
      </c>
      <c r="D19" s="41">
        <v>7.45</v>
      </c>
      <c r="E19" s="46"/>
      <c r="F19" s="41"/>
      <c r="G19" s="41">
        <v>2</v>
      </c>
      <c r="H19" s="46"/>
      <c r="I19" s="41">
        <f t="shared" si="1"/>
        <v>9.4499999999999993</v>
      </c>
      <c r="J19" s="47">
        <f t="shared" si="2"/>
        <v>-1.4499999999999993</v>
      </c>
      <c r="K19" s="41">
        <v>8</v>
      </c>
    </row>
    <row r="20" spans="1:11" ht="30.75" thickBot="1" x14ac:dyDescent="0.3">
      <c r="A20" s="42" t="s">
        <v>64</v>
      </c>
      <c r="B20" s="47" t="s">
        <v>65</v>
      </c>
      <c r="C20" s="42">
        <v>10</v>
      </c>
      <c r="D20" s="42"/>
      <c r="E20" s="47">
        <v>4</v>
      </c>
      <c r="F20" s="42">
        <v>5.5</v>
      </c>
      <c r="G20" s="42"/>
      <c r="H20" s="47"/>
      <c r="I20" s="42">
        <f t="shared" si="1"/>
        <v>9.5</v>
      </c>
      <c r="J20" s="47">
        <f t="shared" si="2"/>
        <v>0.5</v>
      </c>
      <c r="K20" s="42">
        <v>10</v>
      </c>
    </row>
    <row r="21" spans="1:11" ht="30.75" thickBot="1" x14ac:dyDescent="0.3">
      <c r="A21" s="41" t="s">
        <v>66</v>
      </c>
      <c r="B21" s="46" t="s">
        <v>67</v>
      </c>
      <c r="C21" s="41">
        <v>8</v>
      </c>
      <c r="D21" s="41"/>
      <c r="E21" s="46">
        <v>6</v>
      </c>
      <c r="F21" s="41">
        <v>2</v>
      </c>
      <c r="G21" s="41"/>
      <c r="H21" s="46"/>
      <c r="I21" s="41">
        <f t="shared" si="1"/>
        <v>8</v>
      </c>
      <c r="J21" s="47">
        <f t="shared" si="2"/>
        <v>0</v>
      </c>
      <c r="K21" s="41">
        <v>8</v>
      </c>
    </row>
    <row r="22" spans="1:11" x14ac:dyDescent="0.25">
      <c r="C22" s="30">
        <f>SUM(C16:C21)</f>
        <v>46</v>
      </c>
      <c r="D22" s="30">
        <f t="shared" ref="D22:K22" si="3">SUM(D16:D21)</f>
        <v>13.45</v>
      </c>
      <c r="E22" s="30">
        <f t="shared" si="3"/>
        <v>15</v>
      </c>
      <c r="F22" s="30">
        <f t="shared" si="3"/>
        <v>14.65</v>
      </c>
      <c r="G22" s="30">
        <f t="shared" si="3"/>
        <v>12.5</v>
      </c>
      <c r="H22" s="30">
        <f t="shared" si="3"/>
        <v>0</v>
      </c>
      <c r="I22" s="30">
        <f t="shared" si="3"/>
        <v>55.599999999999994</v>
      </c>
      <c r="J22" s="30">
        <f t="shared" si="3"/>
        <v>-9.5999999999999979</v>
      </c>
      <c r="K22" s="30">
        <f>SUM(K16:K21)</f>
        <v>46</v>
      </c>
    </row>
    <row r="23" spans="1:11" ht="15.75" customHeight="1" x14ac:dyDescent="0.25"/>
    <row r="25" spans="1:11" x14ac:dyDescent="0.25">
      <c r="D25" s="1"/>
    </row>
    <row r="26" spans="1:11" x14ac:dyDescent="0.25">
      <c r="D26" s="2"/>
    </row>
    <row r="27" spans="1:11" x14ac:dyDescent="0.25">
      <c r="C27" s="50">
        <v>2</v>
      </c>
      <c r="D27" s="2"/>
    </row>
    <row r="28" spans="1:11" x14ac:dyDescent="0.25">
      <c r="C28" s="51">
        <v>4</v>
      </c>
      <c r="D28" s="2"/>
    </row>
    <row r="29" spans="1:11" x14ac:dyDescent="0.25">
      <c r="C29" s="50">
        <v>2.75</v>
      </c>
      <c r="D29" s="2"/>
    </row>
    <row r="30" spans="1:11" x14ac:dyDescent="0.25">
      <c r="C30">
        <f>SUM(C27,C29,C28)</f>
        <v>8.75</v>
      </c>
      <c r="D30" s="2"/>
    </row>
    <row r="31" spans="1:11" x14ac:dyDescent="0.25">
      <c r="D31" s="2"/>
    </row>
  </sheetData>
  <mergeCells count="7">
    <mergeCell ref="L9:N9"/>
    <mergeCell ref="R1:S1"/>
    <mergeCell ref="D2:E2"/>
    <mergeCell ref="L1:O1"/>
    <mergeCell ref="L7:N7"/>
    <mergeCell ref="L8:N8"/>
    <mergeCell ref="D1:I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4C63-7BB8-471B-95E2-BFD5EDB278A6}">
  <dimension ref="C3:L17"/>
  <sheetViews>
    <sheetView topLeftCell="A2" workbookViewId="0">
      <selection activeCell="K7" sqref="K7"/>
    </sheetView>
  </sheetViews>
  <sheetFormatPr baseColWidth="10" defaultRowHeight="15" x14ac:dyDescent="0.25"/>
  <cols>
    <col min="3" max="3" width="5.5703125" bestFit="1" customWidth="1"/>
    <col min="4" max="4" width="18.28515625" bestFit="1" customWidth="1"/>
    <col min="5" max="5" width="5.5703125" bestFit="1" customWidth="1"/>
    <col min="6" max="6" width="21.85546875" customWidth="1"/>
  </cols>
  <sheetData>
    <row r="3" spans="3:12" ht="15.75" thickBot="1" x14ac:dyDescent="0.3">
      <c r="K3">
        <v>8</v>
      </c>
    </row>
    <row r="4" spans="3:12" ht="28.5" thickTop="1" thickBot="1" x14ac:dyDescent="0.3">
      <c r="C4" s="15" t="s">
        <v>32</v>
      </c>
      <c r="D4" s="16">
        <v>50</v>
      </c>
      <c r="E4" s="17">
        <v>3</v>
      </c>
      <c r="F4" s="18" t="s">
        <v>33</v>
      </c>
      <c r="I4" s="25" t="s">
        <v>54</v>
      </c>
      <c r="J4" s="26">
        <v>75</v>
      </c>
      <c r="K4" s="27">
        <v>8</v>
      </c>
      <c r="L4" s="28" t="s">
        <v>55</v>
      </c>
    </row>
    <row r="5" spans="3:12" ht="41.25" thickBot="1" x14ac:dyDescent="0.3">
      <c r="C5" s="19" t="s">
        <v>34</v>
      </c>
      <c r="D5" s="20">
        <v>55</v>
      </c>
      <c r="E5" s="21">
        <v>10</v>
      </c>
      <c r="F5" s="21" t="s">
        <v>35</v>
      </c>
      <c r="I5" s="19" t="s">
        <v>56</v>
      </c>
      <c r="J5" s="20">
        <v>45</v>
      </c>
      <c r="K5" s="21">
        <v>4</v>
      </c>
      <c r="L5" s="21" t="s">
        <v>57</v>
      </c>
    </row>
    <row r="6" spans="3:12" ht="27.75" thickBot="1" x14ac:dyDescent="0.3">
      <c r="C6" s="22" t="s">
        <v>36</v>
      </c>
      <c r="D6" s="23">
        <v>55</v>
      </c>
      <c r="E6" s="24">
        <v>7</v>
      </c>
      <c r="F6" s="24" t="s">
        <v>37</v>
      </c>
      <c r="K6">
        <f>SUM(K3:K5)</f>
        <v>20</v>
      </c>
    </row>
    <row r="7" spans="3:12" ht="27.75" thickBot="1" x14ac:dyDescent="0.3">
      <c r="C7" s="19" t="s">
        <v>38</v>
      </c>
      <c r="D7" s="20">
        <v>45</v>
      </c>
      <c r="E7" s="21">
        <v>4</v>
      </c>
      <c r="F7" s="21" t="s">
        <v>39</v>
      </c>
    </row>
    <row r="8" spans="3:12" ht="27.75" thickBot="1" x14ac:dyDescent="0.3">
      <c r="C8" s="22" t="s">
        <v>40</v>
      </c>
      <c r="D8" s="23">
        <v>50</v>
      </c>
      <c r="E8" s="24">
        <v>14</v>
      </c>
      <c r="F8" s="24" t="s">
        <v>41</v>
      </c>
    </row>
    <row r="9" spans="3:12" x14ac:dyDescent="0.25">
      <c r="D9" t="s">
        <v>53</v>
      </c>
      <c r="E9">
        <f>SUM(E4:E8)</f>
        <v>38</v>
      </c>
      <c r="K9">
        <f>E9+K6</f>
        <v>58</v>
      </c>
    </row>
    <row r="11" spans="3:12" ht="15.75" thickBot="1" x14ac:dyDescent="0.3"/>
    <row r="12" spans="3:12" ht="15.75" thickBot="1" x14ac:dyDescent="0.3">
      <c r="C12" s="15" t="s">
        <v>42</v>
      </c>
      <c r="D12" s="16">
        <v>60</v>
      </c>
      <c r="E12" s="17">
        <v>3</v>
      </c>
      <c r="F12" s="18" t="s">
        <v>43</v>
      </c>
    </row>
    <row r="13" spans="3:12" ht="15.75" thickBot="1" x14ac:dyDescent="0.3">
      <c r="C13" s="19" t="s">
        <v>44</v>
      </c>
      <c r="D13" s="20">
        <v>70</v>
      </c>
      <c r="E13" s="21">
        <v>8</v>
      </c>
      <c r="F13" s="21" t="s">
        <v>45</v>
      </c>
    </row>
    <row r="14" spans="3:12" ht="15.75" thickBot="1" x14ac:dyDescent="0.3">
      <c r="C14" s="22" t="s">
        <v>46</v>
      </c>
      <c r="D14" s="23">
        <v>70</v>
      </c>
      <c r="E14" s="24">
        <v>10</v>
      </c>
      <c r="F14" s="24" t="s">
        <v>47</v>
      </c>
    </row>
    <row r="15" spans="3:12" ht="15.75" thickBot="1" x14ac:dyDescent="0.3">
      <c r="C15" s="19" t="s">
        <v>48</v>
      </c>
      <c r="D15" s="20">
        <v>65</v>
      </c>
      <c r="E15" s="21">
        <v>7</v>
      </c>
      <c r="F15" s="21" t="s">
        <v>49</v>
      </c>
    </row>
    <row r="16" spans="3:12" ht="15.75" thickBot="1" x14ac:dyDescent="0.3">
      <c r="C16" s="22" t="s">
        <v>50</v>
      </c>
      <c r="D16" s="23">
        <v>65</v>
      </c>
      <c r="E16" s="24">
        <v>4</v>
      </c>
      <c r="F16" s="24" t="s">
        <v>51</v>
      </c>
    </row>
    <row r="17" spans="4:11" x14ac:dyDescent="0.25">
      <c r="D17" t="s">
        <v>52</v>
      </c>
      <c r="E17">
        <f>SUM(E12:E16)</f>
        <v>32</v>
      </c>
      <c r="K17">
        <f>E17+K6</f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43D4C-0EED-4511-8BAB-5BA0BC2D8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Miguel Angel</cp:lastModifiedBy>
  <dcterms:created xsi:type="dcterms:W3CDTF">2018-03-20T12:39:00Z</dcterms:created>
  <dcterms:modified xsi:type="dcterms:W3CDTF">2020-06-02T15:58:27Z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d4f4862b-eb37-45ab-981b-5bea91d5e142</vt:lpwstr>
  </property>
</Properties>
</file>