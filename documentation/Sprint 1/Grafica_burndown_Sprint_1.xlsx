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i\Desktop\Seguimientos MDA\"/>
    </mc:Choice>
  </mc:AlternateContent>
  <xr:revisionPtr revIDLastSave="0" documentId="13_ncr:1_{B052C52C-74EF-460B-AD62-6046DBBC1CAE}" xr6:coauthVersionLast="45" xr6:coauthVersionMax="45" xr10:uidLastSave="{00000000-0000-0000-0000-000000000000}"/>
  <bookViews>
    <workbookView xWindow="1170" yWindow="1170" windowWidth="15375" windowHeight="7995" xr2:uid="{0800FAAA-AE92-4017-8595-EEC2C418C51B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45" i="1" l="1"/>
  <c r="O45" i="1"/>
  <c r="M38" i="1"/>
  <c r="M39" i="1"/>
  <c r="M40" i="1"/>
  <c r="M41" i="1"/>
  <c r="M42" i="1"/>
  <c r="M43" i="1"/>
  <c r="M44" i="1"/>
  <c r="B45" i="1"/>
  <c r="C45" i="1"/>
  <c r="G45" i="1"/>
  <c r="H45" i="1"/>
  <c r="I45" i="1"/>
  <c r="J45" i="1"/>
  <c r="K45" i="1"/>
  <c r="L45" i="1"/>
  <c r="B3" i="1" l="1"/>
  <c r="B4" i="1" s="1"/>
  <c r="B5" i="1" l="1"/>
  <c r="B6" i="1" l="1"/>
  <c r="B7" i="1" s="1"/>
  <c r="B8" i="1" s="1"/>
</calcChain>
</file>

<file path=xl/sharedStrings.xml><?xml version="1.0" encoding="utf-8"?>
<sst xmlns="http://schemas.openxmlformats.org/spreadsheetml/2006/main" count="81" uniqueCount="60">
  <si>
    <t>Teórico</t>
  </si>
  <si>
    <t>Real</t>
  </si>
  <si>
    <t>Horas</t>
  </si>
  <si>
    <t>Cálculo velocidad</t>
  </si>
  <si>
    <t>Miembro</t>
  </si>
  <si>
    <t>Días</t>
  </si>
  <si>
    <t>Horas/Día</t>
  </si>
  <si>
    <t>Total horas (Estimación Esfuerzo)</t>
  </si>
  <si>
    <t>Alejandro</t>
  </si>
  <si>
    <t>Diego</t>
  </si>
  <si>
    <t>Kevin</t>
  </si>
  <si>
    <t>Miguel</t>
  </si>
  <si>
    <t>Total disponibilidad</t>
  </si>
  <si>
    <t>Factor de foco sin pasado</t>
  </si>
  <si>
    <t>0.65</t>
  </si>
  <si>
    <t>Velocidad estimada</t>
  </si>
  <si>
    <t>ID</t>
  </si>
  <si>
    <t>Nombre</t>
  </si>
  <si>
    <t>Descripción</t>
  </si>
  <si>
    <t>Prioridad</t>
  </si>
  <si>
    <t>Estimación</t>
  </si>
  <si>
    <t>Velocidad real</t>
  </si>
  <si>
    <t xml:space="preserve">Notas </t>
  </si>
  <si>
    <t>Resp</t>
  </si>
  <si>
    <t>HU05</t>
  </si>
  <si>
    <t>Inicio sesión</t>
  </si>
  <si>
    <t>Inicia la sesión del usuario</t>
  </si>
  <si>
    <t>10 h</t>
  </si>
  <si>
    <t>HU06</t>
  </si>
  <si>
    <t>Cerrar sesión</t>
  </si>
  <si>
    <t>Cierra la sesión del usuario actual</t>
  </si>
  <si>
    <t>5 h</t>
  </si>
  <si>
    <t>HU07</t>
  </si>
  <si>
    <t>Registro de usuario</t>
  </si>
  <si>
    <t>Registra una nueva cuenta de usuario</t>
  </si>
  <si>
    <t>HU08</t>
  </si>
  <si>
    <t>Listar prueba</t>
  </si>
  <si>
    <t>Muestra la lista de pruebas</t>
  </si>
  <si>
    <t>3 h</t>
  </si>
  <si>
    <t>HU09</t>
  </si>
  <si>
    <t>Crear prueba</t>
  </si>
  <si>
    <t>Agrega una nueva prueba a la lista de pruebas</t>
  </si>
  <si>
    <t>HU10</t>
  </si>
  <si>
    <t>Actualizar prueba</t>
  </si>
  <si>
    <t>Modificas los datos de una prueba</t>
  </si>
  <si>
    <t>7 h</t>
  </si>
  <si>
    <t>HU11</t>
  </si>
  <si>
    <t>Eliminar prueba</t>
  </si>
  <si>
    <t>Elimina una prueba de la lista de pruebas</t>
  </si>
  <si>
    <t>4 h</t>
  </si>
  <si>
    <t>Miki</t>
  </si>
  <si>
    <t>Jueves</t>
  </si>
  <si>
    <t>Viernes</t>
  </si>
  <si>
    <t>Lunes</t>
  </si>
  <si>
    <t>Martes</t>
  </si>
  <si>
    <t>Miércoles</t>
  </si>
  <si>
    <t>Columna1</t>
  </si>
  <si>
    <t>Suma</t>
  </si>
  <si>
    <t>estimad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</si>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</sst>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Courier New"/>
      <family val="3"/>
    </font>
    <font>
      <b/>
      <sz val="10"/>
      <color rgb="FF000000"/>
      <name val="Courier New"/>
      <family val="3"/>
    </font>
    <font>
      <sz val="10"/>
      <color theme="1"/>
      <name val="Courier New"/>
      <family val="3"/>
    </font>
    <font>
      <sz val="10"/>
      <color rgb="FF000000"/>
      <name val="Courier New"/>
      <family val="3"/>
    </font>
    <font>
      <b/>
      <sz val="10"/>
      <color theme="1"/>
      <name val="Courier New"/>
      <family val="3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ourier New"/>
      <family val="3"/>
    </font>
    <font>
      <b/>
      <sz val="12"/>
      <color rgb="FF000000"/>
      <name val="Courier New"/>
      <family val="3"/>
    </font>
    <font>
      <sz val="12"/>
      <color rgb="FF000000"/>
      <name val="Courier New"/>
      <family val="3"/>
    </font>
    <font>
      <sz val="12"/>
      <color theme="1"/>
      <name val="Courier New"/>
      <family val="3"/>
    </font>
    <font>
      <b/>
      <sz val="12"/>
      <color theme="1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25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/>
      <bottom style="thick">
        <color rgb="FF4472C4"/>
      </bottom>
      <diagonal/>
    </border>
    <border>
      <left/>
      <right style="medium">
        <color rgb="FF9CC2E5"/>
      </right>
      <top/>
      <bottom style="thick">
        <color rgb="FF4472C4"/>
      </bottom>
      <diagonal/>
    </border>
    <border>
      <left style="medium">
        <color rgb="FF9CC2E5"/>
      </left>
      <right/>
      <top style="thick">
        <color rgb="FF4472C4"/>
      </top>
      <bottom style="medium">
        <color rgb="FF9CC2E5"/>
      </bottom>
      <diagonal/>
    </border>
    <border>
      <left/>
      <right/>
      <top style="thick">
        <color rgb="FF4472C4"/>
      </top>
      <bottom style="medium">
        <color rgb="FF9CC2E5"/>
      </bottom>
      <diagonal/>
    </border>
    <border>
      <left/>
      <right style="medium">
        <color rgb="FF9CC2E5"/>
      </right>
      <top style="thick">
        <color rgb="FF4472C4"/>
      </top>
      <bottom style="medium">
        <color rgb="FF9CC2E5"/>
      </bottom>
      <diagonal/>
    </border>
    <border>
      <left style="medium">
        <color rgb="FF9CC2E5"/>
      </left>
      <right/>
      <top style="medium">
        <color rgb="FF9CC2E5"/>
      </top>
      <bottom style="medium">
        <color rgb="FF9CC2E5"/>
      </bottom>
      <diagonal/>
    </border>
    <border>
      <left/>
      <right/>
      <top style="medium">
        <color rgb="FF9CC2E5"/>
      </top>
      <bottom style="medium">
        <color rgb="FF9CC2E5"/>
      </bottom>
      <diagonal/>
    </border>
    <border>
      <left/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rgb="FFED7D31"/>
      </left>
      <right/>
      <top style="medium">
        <color rgb="FFED7D31"/>
      </top>
      <bottom style="medium">
        <color rgb="FFED7D31"/>
      </bottom>
      <diagonal/>
    </border>
    <border>
      <left/>
      <right/>
      <top style="medium">
        <color rgb="FFED7D31"/>
      </top>
      <bottom style="medium">
        <color rgb="FFED7D31"/>
      </bottom>
      <diagonal/>
    </border>
    <border>
      <left/>
      <right style="medium">
        <color rgb="FFED7D31"/>
      </right>
      <top style="medium">
        <color rgb="FFED7D31"/>
      </top>
      <bottom style="medium">
        <color rgb="FFED7D31"/>
      </bottom>
      <diagonal/>
    </border>
    <border>
      <left style="medium">
        <color rgb="FFF4B083"/>
      </left>
      <right style="medium">
        <color rgb="FFF4B083"/>
      </right>
      <top/>
      <bottom style="medium">
        <color rgb="FFF4B083"/>
      </bottom>
      <diagonal/>
    </border>
    <border>
      <left/>
      <right style="medium">
        <color rgb="FFF4B083"/>
      </right>
      <top/>
      <bottom style="medium">
        <color rgb="FFF4B083"/>
      </bottom>
      <diagonal/>
    </border>
    <border>
      <left/>
      <right style="medium">
        <color rgb="FFF4B083"/>
      </right>
      <top/>
      <bottom style="medium">
        <color rgb="FFF7CAAC"/>
      </bottom>
      <diagonal/>
    </border>
    <border>
      <left style="medium">
        <color rgb="FFF4B083"/>
      </left>
      <right style="medium">
        <color rgb="FFF4B083"/>
      </right>
      <top/>
      <bottom/>
      <diagonal/>
    </border>
    <border>
      <left/>
      <right style="medium">
        <color rgb="FFF4B083"/>
      </right>
      <top/>
      <bottom/>
      <diagonal/>
    </border>
    <border>
      <left/>
      <right style="medium">
        <color rgb="FFF4B083"/>
      </right>
      <top style="thin">
        <color theme="5"/>
      </top>
      <bottom style="medium">
        <color rgb="FFF4B083"/>
      </bottom>
      <diagonal/>
    </border>
    <border>
      <left/>
      <right style="medium">
        <color rgb="FFF4B083"/>
      </right>
      <top style="thin">
        <color theme="5"/>
      </top>
      <bottom/>
      <diagonal/>
    </border>
    <border>
      <left/>
      <right style="medium">
        <color rgb="FFF4B083"/>
      </right>
      <top style="double">
        <color theme="5"/>
      </top>
      <bottom style="medium">
        <color rgb="FFF4B083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  <xf numFmtId="0" fontId="8" fillId="6" borderId="0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0" fillId="4" borderId="14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8" xfId="0" applyFont="1" applyFill="1" applyBorder="1" applyAlignment="1">
      <alignment horizontal="center" vertical="center" wrapText="1"/>
    </xf>
    <xf numFmtId="0" fontId="13" fillId="5" borderId="18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5" borderId="19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5" borderId="21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9" fillId="0" borderId="0" xfId="0" applyFont="1"/>
    <xf numFmtId="0" fontId="12" fillId="5" borderId="22" xfId="0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2" fillId="5" borderId="23" xfId="0" applyFont="1" applyFill="1" applyBorder="1" applyAlignment="1">
      <alignment horizontal="center" vertical="center" wrapText="1"/>
    </xf>
    <xf numFmtId="0" fontId="11" fillId="5" borderId="2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right" vertical="center" wrapText="1"/>
    </xf>
    <xf numFmtId="0" fontId="5" fillId="0" borderId="9" xfId="0" applyFont="1" applyBorder="1" applyAlignment="1">
      <alignment horizontal="right" vertical="center" wrapText="1"/>
    </xf>
    <xf numFmtId="0" fontId="5" fillId="0" borderId="10" xfId="0" applyFont="1" applyBorder="1" applyAlignment="1">
      <alignment horizontal="right" vertical="center" wrapText="1"/>
    </xf>
    <xf numFmtId="0" fontId="2" fillId="3" borderId="11" xfId="0" applyFont="1" applyFill="1" applyBorder="1" applyAlignment="1">
      <alignment horizontal="right" vertical="center" wrapText="1"/>
    </xf>
    <xf numFmtId="0" fontId="2" fillId="3" borderId="12" xfId="0" applyFont="1" applyFill="1" applyBorder="1" applyAlignment="1">
      <alignment horizontal="right" vertical="center" wrapText="1"/>
    </xf>
    <xf numFmtId="0" fontId="2" fillId="3" borderId="13" xfId="0" applyFont="1" applyFill="1" applyBorder="1" applyAlignment="1">
      <alignment horizontal="right" vertical="center" wrapText="1"/>
    </xf>
    <xf numFmtId="0" fontId="5" fillId="0" borderId="11" xfId="0" applyFont="1" applyBorder="1" applyAlignment="1">
      <alignment horizontal="right" vertical="center" wrapText="1"/>
    </xf>
    <xf numFmtId="0" fontId="5" fillId="0" borderId="12" xfId="0" applyFont="1" applyBorder="1" applyAlignment="1">
      <alignment horizontal="right" vertical="center" wrapText="1"/>
    </xf>
    <xf numFmtId="0" fontId="5" fillId="0" borderId="13" xfId="0" applyFont="1" applyBorder="1" applyAlignment="1">
      <alignment horizontal="right" vertical="center" wrapText="1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family val="3"/>
        <scheme val="none"/>
      </font>
      <fill>
        <patternFill patternType="solid">
          <fgColor indexed="64"/>
          <bgColor rgb="FFFBE4D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F4B08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ourier New"/>
        <family val="3"/>
        <scheme val="none"/>
      </font>
      <fill>
        <patternFill patternType="solid">
          <fgColor indexed="64"/>
          <bgColor rgb="FFFBE4D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F4B08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ourier New"/>
        <family val="3"/>
        <scheme val="none"/>
      </font>
      <fill>
        <patternFill patternType="solid">
          <fgColor indexed="64"/>
          <bgColor rgb="FFFBE4D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F4B08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ourier New"/>
        <family val="3"/>
        <scheme val="none"/>
      </font>
      <fill>
        <patternFill patternType="solid">
          <fgColor indexed="64"/>
          <bgColor rgb="FFFBE4D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F4B08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ourier New"/>
        <family val="3"/>
        <scheme val="none"/>
      </font>
      <fill>
        <patternFill patternType="solid">
          <fgColor indexed="64"/>
          <bgColor rgb="FFFBE4D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F4B083"/>
        </left>
        <right style="medium">
          <color rgb="FFF4B08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family val="3"/>
        <scheme val="none"/>
      </font>
      <fill>
        <patternFill patternType="solid">
          <fgColor indexed="64"/>
          <bgColor rgb="FFFBE4D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F4B083"/>
        </right>
        <top/>
        <bottom style="medium">
          <color rgb="FFF4B08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ourier New"/>
        <family val="3"/>
        <scheme val="none"/>
      </font>
      <fill>
        <patternFill patternType="solid">
          <fgColor indexed="64"/>
          <bgColor rgb="FFFBE4D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F4B083"/>
        </right>
        <top/>
        <bottom style="medium">
          <color rgb="FFF4B08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ourier New"/>
        <family val="3"/>
        <scheme val="none"/>
      </font>
      <fill>
        <patternFill patternType="solid">
          <fgColor indexed="64"/>
          <bgColor rgb="FFFBE4D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F4B083"/>
        </right>
        <top/>
        <bottom style="medium">
          <color rgb="FFF4B08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ourier New"/>
        <family val="3"/>
        <scheme val="none"/>
      </font>
      <fill>
        <patternFill patternType="solid">
          <fgColor indexed="64"/>
          <bgColor rgb="FFFBE4D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F4B083"/>
        </right>
        <top/>
        <bottom style="medium">
          <color rgb="FFF4B08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ourier New"/>
        <family val="3"/>
        <scheme val="none"/>
      </font>
      <fill>
        <patternFill patternType="solid">
          <fgColor indexed="64"/>
          <bgColor rgb="FFFBE4D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F4B083"/>
        </right>
        <top/>
        <bottom style="medium">
          <color rgb="FFF4B08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ourier New"/>
        <family val="3"/>
        <scheme val="none"/>
      </font>
      <fill>
        <patternFill patternType="solid">
          <fgColor indexed="64"/>
          <bgColor rgb="FFFBE4D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F4B083"/>
        </right>
        <top/>
        <bottom style="medium">
          <color rgb="FFF4B08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ourier New"/>
        <family val="3"/>
        <scheme val="none"/>
      </font>
      <fill>
        <patternFill patternType="solid">
          <fgColor indexed="64"/>
          <bgColor rgb="FFFBE4D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4B083"/>
        </left>
        <right style="medium">
          <color rgb="FFF4B083"/>
        </right>
        <top/>
        <bottom style="medium">
          <color rgb="FFF4B083"/>
        </bottom>
        <vertical/>
        <horizontal/>
      </border>
    </dxf>
    <dxf>
      <border outline="0">
        <bottom style="medium">
          <color rgb="FFF4B08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ourier New"/>
        <family val="3"/>
        <scheme val="none"/>
      </font>
      <fill>
        <patternFill patternType="solid">
          <fgColor indexed="64"/>
          <bgColor rgb="FFED7D3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249977111117893"/>
        <name val="Calibri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249977111117893"/>
        <name val="Calibri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249977111117893"/>
        <name val="Calibri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s-ES" sz="1100"/>
              <a:t>METODOLOGÍAs</a:t>
            </a:r>
            <a:r>
              <a:rPr lang="es-ES" sz="1100" baseline="0"/>
              <a:t> DE DESARROLLO ÁGIL</a:t>
            </a:r>
          </a:p>
          <a:p>
            <a:pPr>
              <a:defRPr sz="1100"/>
            </a:pPr>
            <a:r>
              <a:rPr lang="es-ES" sz="1100" baseline="0"/>
              <a:t>Sportsevents</a:t>
            </a:r>
          </a:p>
          <a:p>
            <a:pPr>
              <a:defRPr sz="1100"/>
            </a:pPr>
            <a:r>
              <a:rPr lang="es-ES" sz="1100"/>
              <a:t>SPRINT</a:t>
            </a:r>
            <a:r>
              <a:rPr lang="es-ES" sz="1100" baseline="0"/>
              <a:t> 1</a:t>
            </a:r>
            <a:endParaRPr lang="es-E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2328540402488768"/>
          <c:y val="0.14053147704363042"/>
          <c:w val="0.76364384216615033"/>
          <c:h val="0.75120438206093798"/>
        </c:manualLayout>
      </c:layout>
      <c:lineChart>
        <c:grouping val="standard"/>
        <c:varyColors val="0"/>
        <c:ser>
          <c:idx val="1"/>
          <c:order val="0"/>
          <c:tx>
            <c:strRef>
              <c:f>Hoja1!$B$1</c:f>
              <c:strCache>
                <c:ptCount val="1"/>
                <c:pt idx="0">
                  <c:v>Real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Hoja1!$B$2:$B$9</c:f>
              <c:numCache>
                <c:formatCode>General</c:formatCode>
                <c:ptCount val="8"/>
                <c:pt idx="0">
                  <c:v>52</c:v>
                </c:pt>
                <c:pt idx="1">
                  <c:v>44</c:v>
                </c:pt>
                <c:pt idx="2">
                  <c:v>36</c:v>
                </c:pt>
                <c:pt idx="3">
                  <c:v>36</c:v>
                </c:pt>
                <c:pt idx="4">
                  <c:v>26</c:v>
                </c:pt>
                <c:pt idx="5">
                  <c:v>13</c:v>
                </c:pt>
                <c:pt idx="6">
                  <c:v>5.75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AA-47D5-B728-BA66BCC16A1C}"/>
            </c:ext>
          </c:extLst>
        </c:ser>
        <c:ser>
          <c:idx val="2"/>
          <c:order val="1"/>
          <c:tx>
            <c:strRef>
              <c:f>Hoja1!$C$1</c:f>
              <c:strCache>
                <c:ptCount val="1"/>
                <c:pt idx="0">
                  <c:v>Teórico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Hoja1!$C$2:$C$9</c:f>
              <c:numCache>
                <c:formatCode>General</c:formatCode>
                <c:ptCount val="8"/>
                <c:pt idx="0">
                  <c:v>52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AA-47D5-B728-BA66BCC16A1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39075216"/>
        <c:axId val="539077512"/>
      </c:lineChart>
      <c:catAx>
        <c:axId val="539075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400"/>
                  <a:t>Días del sprint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9077512"/>
        <c:crosses val="autoZero"/>
        <c:auto val="1"/>
        <c:lblAlgn val="ctr"/>
        <c:lblOffset val="100"/>
        <c:tickLblSkip val="1"/>
        <c:noMultiLvlLbl val="0"/>
      </c:catAx>
      <c:valAx>
        <c:axId val="539077512"/>
        <c:scaling>
          <c:orientation val="minMax"/>
          <c:max val="56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400"/>
                  <a:t>Esfuerzo</a:t>
                </a:r>
                <a:r>
                  <a:rPr lang="es-ES" sz="1400" baseline="0"/>
                  <a:t> pendiente</a:t>
                </a:r>
                <a:endParaRPr lang="es-ES" sz="1400"/>
              </a:p>
            </c:rich>
          </c:tx>
          <c:layout>
            <c:manualLayout>
              <c:xMode val="edge"/>
              <c:yMode val="edge"/>
              <c:x val="2.2802613909678068E-2"/>
              <c:y val="0.272286954934291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9075216"/>
        <c:crossesAt val="1"/>
        <c:crossBetween val="midCat"/>
        <c:majorUnit val="8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748391</xdr:colOff>
      <xdr:row>0</xdr:row>
      <xdr:rowOff>18555</xdr:rowOff>
    </xdr:from>
    <xdr:to>
      <xdr:col>20</xdr:col>
      <xdr:colOff>585107</xdr:colOff>
      <xdr:row>26</xdr:row>
      <xdr:rowOff>81643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E28C71E-8637-47B6-BCE6-C00F0775D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72555D-14F9-4C6E-AD8D-56971D6A30D5}" name="Tabla3" displayName="Tabla3" ref="A1:D12" totalsRowShown="0" tableBorderDxfId="30">
  <autoFilter ref="A1:D12" xr:uid="{47E11D0D-F6B3-499C-A810-2A0B0354A968}"/>
  <tableColumns count="4">
    <tableColumn id="1" xr3:uid="{9E183B51-7338-44F7-8ADE-AC0F87B26FF1}" name="Horas"/>
    <tableColumn id="2" xr3:uid="{5DAC9E35-AEFE-4E43-97E1-6BCA6DD60DFF}" name="Real"/>
    <tableColumn id="3" xr3:uid="{497B81E3-205D-4DDC-9DE2-E0E082A784E7}" name="Teórico"/>
    <tableColumn id="4" xr3:uid="{7618C75E-E826-46A6-8D16-D10A4286EE79}" name="Columna1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716437-28AD-4FEE-B7BF-9F1E32133AA5}" name="Tabla2" displayName="Tabla2" ref="A25:E31" totalsRowCount="1" dataDxfId="29" tableBorderDxfId="28">
  <autoFilter ref="A25:E30" xr:uid="{07F4C9D1-E521-4D68-87BB-31D5D66758E9}"/>
  <tableColumns count="5">
    <tableColumn id="2" xr3:uid="{50437FAC-3C8B-42E2-B79B-FDB94A487F7E}" name="Columna1" dataDxfId="27" totalsRowDxfId="26"/>
    <tableColumn id="3" xr3:uid="{0BA594BB-35A5-431B-8D8D-53E7B5BB8BAB}" name="Alejandro" dataDxfId="25" totalsRowDxfId="24"/>
    <tableColumn id="4" xr3:uid="{61E46FFD-D18B-48E9-9F4B-F0A713A28484}" name="Diego" dataDxfId="23" totalsRowDxfId="22"/>
    <tableColumn id="5" xr3:uid="{094895C4-D5BD-4B7E-908A-4F98B60578A1}" name="Kevin" dataDxfId="21" totalsRowDxfId="20"/>
    <tableColumn id="6" xr3:uid="{9F9FEB46-9448-4204-A739-41EF418EC859}" name="Miki" dataDxfId="19" totalsRowDxfId="18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3672B5-730B-4FAE-BCB8-2D3C547CEC1C}" name="Tabla1" displayName="Tabla1" ref="F3:F8" totalsRowShown="0" headerRowDxfId="17" dataDxfId="16" tableBorderDxfId="15">
  <autoFilter ref="F3:F8" xr:uid="{F4DE1A54-7ED1-45CA-8CB4-3D83B7C9B5EB}"/>
  <tableColumns count="1">
    <tableColumn id="1" xr3:uid="{BB4E7A5D-C973-4A73-B8B4-073C8A574DF1}" name="Columna1" dataDxfId="14"/>
  </tableColumns>
  <tableStyleInfo name="TableStyleLight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ADD57F-38B9-4E2B-AF36-F13B62ED7031}" name="Tabla4" displayName="Tabla4" ref="A37:N45" totalsRowCount="1" headerRowDxfId="13" tableBorderDxfId="12">
  <autoFilter ref="A37:N44" xr:uid="{03BE2726-28C4-40F2-AF51-EC11D5905927}"/>
  <tableColumns count="14">
    <tableColumn id="1" xr3:uid="{1630CF26-5BDB-4377-A2A3-59291CEC4AAC}" name="ID" totalsRowLabel="Suma" dataDxfId="11" totalsRowDxfId="4"/>
    <tableColumn id="2" xr3:uid="{BF981FD9-4B60-45CB-92AA-A103CA0938E5}" name="Nombre" totalsRowFunction="sum" dataDxfId="10" totalsRowDxfId="3"/>
    <tableColumn id="3" xr3:uid="{BE9F9EA2-8ECD-4BCE-8995-342A544D7E28}" name="Descripción" totalsRowFunction="sum" dataDxfId="9" totalsRowDxfId="2"/>
    <tableColumn id="4" xr3:uid="{6AE8088A-A54A-494E-A69E-66CC1BCEB943}" name="Prioridad" dataDxfId="8" totalsRowDxfId="1"/>
    <tableColumn id="5" xr3:uid="{55762439-EB21-4C09-92F9-848901458502}" name="Estimación" dataDxfId="7"/>
    <tableColumn id="6" xr3:uid="{1290117B-4DB3-4870-A805-D77FCFF76F20}" name="Velocidad real" dataDxfId="6"/>
    <tableColumn id="7" xr3:uid="{2ADE9B08-1C77-4CAE-8FF1-6AFAC023492F}" name="Notas " totalsRowFunction="sum" dataDxfId="5" totalsRowDxfId="0"/>
    <tableColumn id="8" xr3:uid="{10845D60-E3BD-4C90-A86B-767DB647F551}" name="Resp" totalsRowFunction="sum"/>
    <tableColumn id="9" xr3:uid="{7DBEB660-3E26-4E78-9BF3-2E9B0858BE8B}" name="Alejandro" totalsRowFunction="sum"/>
    <tableColumn id="10" xr3:uid="{D0288763-7D82-4910-A710-F3D5C491B362}" name="Diego" totalsRowFunction="sum"/>
    <tableColumn id="11" xr3:uid="{4F8E015E-04F9-4D95-8AF4-706B5C95AA5B}" name="Kevin" totalsRowFunction="sum"/>
    <tableColumn id="12" xr3:uid="{A6BDA818-A843-4C54-B1F4-20A8905ECEDD}" name="Miguel" totalsRowFunction="sum"/>
    <tableColumn id="13" xr3:uid="{0F7A26FB-D9CA-4290-8F63-9054AC24DBA3}" name="Suma">
      <calculatedColumnFormula>SUM(Tabla4[[#This Row],[Nombre]:[Miguel]])</calculatedColumnFormula>
    </tableColumn>
    <tableColumn id="14" xr3:uid="{DB6F32AB-A85E-43D8-AECD-53D6F0822D83}" name="Columna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28BDB-152B-4201-B8EC-2CF579D08F49}">
  <dimension ref="A1:AC45"/>
  <sheetViews>
    <sheetView tabSelected="1" topLeftCell="S1" zoomScale="70" zoomScaleNormal="70" workbookViewId="0">
      <selection activeCell="N38" sqref="N38:N44"/>
    </sheetView>
  </sheetViews>
  <sheetFormatPr baseColWidth="10" defaultRowHeight="15" x14ac:dyDescent="0.25"/>
  <cols>
    <col min="2" max="2" width="11.85546875" customWidth="1"/>
    <col min="3" max="3" width="19" customWidth="1"/>
    <col min="4" max="4" width="16.140625" customWidth="1"/>
    <col min="5" max="5" width="17.5703125" customWidth="1"/>
    <col min="6" max="6" width="23.28515625" customWidth="1"/>
    <col min="7" max="7" width="11.85546875" customWidth="1"/>
    <col min="9" max="9" width="16.140625" customWidth="1"/>
    <col min="10" max="10" width="13.5703125" bestFit="1" customWidth="1"/>
    <col min="12" max="12" width="11.85546875" customWidth="1"/>
  </cols>
  <sheetData>
    <row r="1" spans="1:9" x14ac:dyDescent="0.25">
      <c r="A1" s="9" t="s">
        <v>2</v>
      </c>
      <c r="B1" s="9" t="s">
        <v>1</v>
      </c>
      <c r="C1" s="9" t="s">
        <v>0</v>
      </c>
      <c r="D1" t="s">
        <v>56</v>
      </c>
    </row>
    <row r="2" spans="1:9" x14ac:dyDescent="0.25">
      <c r="A2" s="9">
        <v>1</v>
      </c>
      <c r="B2" s="9">
        <v>52</v>
      </c>
      <c r="C2" s="9">
        <v>52</v>
      </c>
    </row>
    <row r="3" spans="1:9" x14ac:dyDescent="0.25">
      <c r="A3" s="9">
        <v>2</v>
      </c>
      <c r="B3" s="9">
        <f>B2-8</f>
        <v>44</v>
      </c>
      <c r="F3" s="13" t="s">
        <v>56</v>
      </c>
    </row>
    <row r="4" spans="1:9" x14ac:dyDescent="0.25">
      <c r="A4" s="9">
        <v>3</v>
      </c>
      <c r="B4" s="9">
        <f>B3-8</f>
        <v>36</v>
      </c>
      <c r="F4" s="13">
        <v>0</v>
      </c>
    </row>
    <row r="5" spans="1:9" x14ac:dyDescent="0.25">
      <c r="A5" s="9">
        <v>4</v>
      </c>
      <c r="B5" s="9">
        <f>B4-F4</f>
        <v>36</v>
      </c>
      <c r="C5" s="9"/>
      <c r="F5" s="14">
        <v>10</v>
      </c>
    </row>
    <row r="6" spans="1:9" x14ac:dyDescent="0.25">
      <c r="A6" s="9">
        <v>5</v>
      </c>
      <c r="B6" s="9">
        <f>B5-F5</f>
        <v>26</v>
      </c>
      <c r="C6" s="9"/>
      <c r="F6" s="13">
        <v>13</v>
      </c>
    </row>
    <row r="7" spans="1:9" ht="14.25" customHeight="1" x14ac:dyDescent="0.25">
      <c r="A7" s="9">
        <v>6</v>
      </c>
      <c r="B7" s="9">
        <f>B6-F6</f>
        <v>13</v>
      </c>
      <c r="C7" s="9"/>
      <c r="F7" s="14">
        <v>7.25</v>
      </c>
    </row>
    <row r="8" spans="1:9" x14ac:dyDescent="0.25">
      <c r="A8" s="9">
        <v>7</v>
      </c>
      <c r="B8" s="9">
        <f>B7-F7</f>
        <v>5.75</v>
      </c>
      <c r="F8" s="13">
        <v>15</v>
      </c>
    </row>
    <row r="9" spans="1:9" x14ac:dyDescent="0.25">
      <c r="A9" s="9">
        <v>8</v>
      </c>
      <c r="B9" s="9">
        <v>0</v>
      </c>
      <c r="C9" s="9">
        <v>0</v>
      </c>
      <c r="I9" s="12"/>
    </row>
    <row r="10" spans="1:9" x14ac:dyDescent="0.25">
      <c r="A10" s="9"/>
    </row>
    <row r="11" spans="1:9" x14ac:dyDescent="0.25">
      <c r="A11" s="9"/>
    </row>
    <row r="12" spans="1:9" x14ac:dyDescent="0.25">
      <c r="A12" s="9"/>
    </row>
    <row r="23" spans="1:6" ht="15.75" customHeight="1" x14ac:dyDescent="0.25"/>
    <row r="25" spans="1:6" x14ac:dyDescent="0.25">
      <c r="A25" s="10" t="s">
        <v>56</v>
      </c>
      <c r="B25" s="9" t="s">
        <v>8</v>
      </c>
      <c r="C25" s="9" t="s">
        <v>9</v>
      </c>
      <c r="D25" s="9" t="s">
        <v>10</v>
      </c>
      <c r="E25" s="9" t="s">
        <v>50</v>
      </c>
      <c r="F25" s="9"/>
    </row>
    <row r="26" spans="1:6" x14ac:dyDescent="0.25">
      <c r="A26" s="10" t="s">
        <v>53</v>
      </c>
      <c r="B26" s="10">
        <v>0</v>
      </c>
      <c r="C26" s="10">
        <v>0</v>
      </c>
      <c r="D26" s="10">
        <v>0</v>
      </c>
      <c r="E26" s="10">
        <v>0</v>
      </c>
      <c r="F26" s="11"/>
    </row>
    <row r="27" spans="1:6" x14ac:dyDescent="0.25">
      <c r="A27" s="10" t="s">
        <v>54</v>
      </c>
      <c r="B27" s="10">
        <v>3</v>
      </c>
      <c r="C27" s="10">
        <v>4</v>
      </c>
      <c r="D27" s="10">
        <v>3</v>
      </c>
      <c r="E27" s="10">
        <v>0</v>
      </c>
      <c r="F27" s="11"/>
    </row>
    <row r="28" spans="1:6" x14ac:dyDescent="0.25">
      <c r="A28" s="10" t="s">
        <v>55</v>
      </c>
      <c r="B28" s="10">
        <v>3.5</v>
      </c>
      <c r="C28" s="10">
        <v>2</v>
      </c>
      <c r="D28" s="10">
        <v>4.5</v>
      </c>
      <c r="E28" s="10">
        <v>3</v>
      </c>
      <c r="F28" s="11"/>
    </row>
    <row r="29" spans="1:6" x14ac:dyDescent="0.25">
      <c r="A29" s="10" t="s">
        <v>51</v>
      </c>
      <c r="B29" s="10">
        <v>2</v>
      </c>
      <c r="C29" s="10">
        <v>2.25</v>
      </c>
      <c r="D29" s="10">
        <v>1</v>
      </c>
      <c r="E29" s="10">
        <v>3</v>
      </c>
      <c r="F29" s="11"/>
    </row>
    <row r="30" spans="1:6" x14ac:dyDescent="0.25">
      <c r="A30" s="10" t="s">
        <v>52</v>
      </c>
      <c r="B30" s="10">
        <v>3</v>
      </c>
      <c r="C30" s="10">
        <v>1</v>
      </c>
      <c r="D30" s="10">
        <v>8</v>
      </c>
      <c r="E30" s="10">
        <v>5</v>
      </c>
      <c r="F30" s="11"/>
    </row>
    <row r="31" spans="1:6" x14ac:dyDescent="0.25">
      <c r="A31" s="11"/>
      <c r="B31" s="11"/>
      <c r="C31" s="11"/>
      <c r="D31" s="11"/>
      <c r="E31" s="11"/>
      <c r="F31" s="11"/>
    </row>
    <row r="36" spans="1:29" ht="15.75" thickBot="1" x14ac:dyDescent="0.3"/>
    <row r="37" spans="1:29" ht="33.75" thickBot="1" x14ac:dyDescent="0.3">
      <c r="A37" s="15" t="s">
        <v>16</v>
      </c>
      <c r="B37" s="16" t="s">
        <v>17</v>
      </c>
      <c r="C37" s="16" t="s">
        <v>18</v>
      </c>
      <c r="D37" s="16" t="s">
        <v>19</v>
      </c>
      <c r="E37" s="16" t="s">
        <v>20</v>
      </c>
      <c r="F37" s="16" t="s">
        <v>21</v>
      </c>
      <c r="G37" s="16" t="s">
        <v>22</v>
      </c>
      <c r="H37" s="17" t="s">
        <v>23</v>
      </c>
      <c r="I37" s="18" t="s">
        <v>8</v>
      </c>
      <c r="J37" s="18" t="s">
        <v>9</v>
      </c>
      <c r="K37" s="18" t="s">
        <v>10</v>
      </c>
      <c r="L37" s="18" t="s">
        <v>11</v>
      </c>
      <c r="M37" s="28" t="s">
        <v>57</v>
      </c>
      <c r="N37" s="28" t="s">
        <v>56</v>
      </c>
      <c r="O37" t="s">
        <v>59</v>
      </c>
      <c r="P37" t="s">
        <v>58</v>
      </c>
      <c r="Q37" s="16" t="s">
        <v>17</v>
      </c>
      <c r="Z37" s="34" t="s">
        <v>3</v>
      </c>
      <c r="AA37" s="35"/>
      <c r="AB37" s="35"/>
      <c r="AC37" s="36"/>
    </row>
    <row r="38" spans="1:29" ht="68.25" thickBot="1" x14ac:dyDescent="0.3">
      <c r="A38" s="19" t="s">
        <v>24</v>
      </c>
      <c r="B38" s="20" t="s">
        <v>25</v>
      </c>
      <c r="C38" s="20" t="s">
        <v>26</v>
      </c>
      <c r="D38" s="20"/>
      <c r="E38" s="26"/>
      <c r="F38" s="26"/>
      <c r="G38" s="21"/>
      <c r="H38" s="20"/>
      <c r="I38" s="20">
        <v>6</v>
      </c>
      <c r="J38" s="20"/>
      <c r="K38" s="20">
        <v>2</v>
      </c>
      <c r="L38" s="20">
        <v>4</v>
      </c>
      <c r="M38" s="29">
        <f>SUM(Tabla4[[#This Row],[Nombre]:[Miguel]])</f>
        <v>12</v>
      </c>
      <c r="N38">
        <v>12</v>
      </c>
      <c r="O38" s="30"/>
      <c r="P38" s="30" t="s">
        <v>27</v>
      </c>
      <c r="Q38" s="30" t="s">
        <v>25</v>
      </c>
      <c r="Z38" s="1" t="s">
        <v>4</v>
      </c>
      <c r="AA38" s="2" t="s">
        <v>5</v>
      </c>
      <c r="AB38" s="2" t="s">
        <v>6</v>
      </c>
      <c r="AC38" s="2" t="s">
        <v>7</v>
      </c>
    </row>
    <row r="39" spans="1:29" ht="63.75" thickBot="1" x14ac:dyDescent="0.3">
      <c r="A39" s="22" t="s">
        <v>28</v>
      </c>
      <c r="B39" s="23" t="s">
        <v>29</v>
      </c>
      <c r="C39" s="23" t="s">
        <v>30</v>
      </c>
      <c r="D39" s="23"/>
      <c r="E39" s="26"/>
      <c r="F39" s="26"/>
      <c r="G39" s="23"/>
      <c r="H39" s="23"/>
      <c r="I39" s="23"/>
      <c r="J39" s="23"/>
      <c r="K39" s="23">
        <v>1</v>
      </c>
      <c r="L39" s="23">
        <v>2</v>
      </c>
      <c r="M39" s="29">
        <f>SUM(Tabla4[[#This Row],[Nombre]:[Miguel]])</f>
        <v>3</v>
      </c>
      <c r="N39">
        <v>3</v>
      </c>
      <c r="O39" s="31"/>
      <c r="P39" s="31" t="s">
        <v>31</v>
      </c>
      <c r="Q39" s="31" t="s">
        <v>29</v>
      </c>
      <c r="Z39" s="3" t="s">
        <v>8</v>
      </c>
      <c r="AA39" s="4">
        <v>10</v>
      </c>
      <c r="AB39" s="4">
        <v>2</v>
      </c>
      <c r="AC39" s="4">
        <v>20</v>
      </c>
    </row>
    <row r="40" spans="1:29" ht="48" thickBot="1" x14ac:dyDescent="0.3">
      <c r="A40" s="19" t="s">
        <v>32</v>
      </c>
      <c r="B40" s="20" t="s">
        <v>33</v>
      </c>
      <c r="C40" s="20" t="s">
        <v>34</v>
      </c>
      <c r="D40" s="20"/>
      <c r="E40" s="26"/>
      <c r="F40" s="26"/>
      <c r="G40" s="24"/>
      <c r="H40" s="20"/>
      <c r="I40" s="20"/>
      <c r="J40" s="20"/>
      <c r="K40" s="20">
        <v>1</v>
      </c>
      <c r="L40" s="20">
        <v>5</v>
      </c>
      <c r="M40" s="29">
        <f>SUM(Tabla4[[#This Row],[Nombre]:[Miguel]])</f>
        <v>6</v>
      </c>
      <c r="N40">
        <v>6</v>
      </c>
      <c r="O40" s="30"/>
      <c r="P40" s="30" t="s">
        <v>27</v>
      </c>
      <c r="Q40" s="30" t="s">
        <v>33</v>
      </c>
      <c r="Z40" s="5" t="s">
        <v>9</v>
      </c>
      <c r="AA40" s="6">
        <v>10</v>
      </c>
      <c r="AB40" s="6">
        <v>2</v>
      </c>
      <c r="AC40" s="6">
        <v>20</v>
      </c>
    </row>
    <row r="41" spans="1:29" ht="48" thickBot="1" x14ac:dyDescent="0.3">
      <c r="A41" s="22" t="s">
        <v>35</v>
      </c>
      <c r="B41" s="23" t="s">
        <v>36</v>
      </c>
      <c r="C41" s="23" t="s">
        <v>37</v>
      </c>
      <c r="D41" s="23"/>
      <c r="E41" s="26"/>
      <c r="F41" s="26"/>
      <c r="G41" s="23"/>
      <c r="H41" s="23"/>
      <c r="I41" s="23">
        <v>2</v>
      </c>
      <c r="J41" s="23">
        <v>1.25</v>
      </c>
      <c r="K41" s="23">
        <v>8</v>
      </c>
      <c r="L41" s="23">
        <v>0</v>
      </c>
      <c r="M41" s="29">
        <f>SUM(Tabla4[[#This Row],[Nombre]:[Miguel]])</f>
        <v>11.25</v>
      </c>
      <c r="N41">
        <v>11.25</v>
      </c>
      <c r="O41" s="31"/>
      <c r="P41" s="31" t="s">
        <v>38</v>
      </c>
      <c r="Q41" s="31" t="s">
        <v>36</v>
      </c>
      <c r="Z41" s="3" t="s">
        <v>10</v>
      </c>
      <c r="AA41" s="4">
        <v>10</v>
      </c>
      <c r="AB41" s="4">
        <v>2</v>
      </c>
      <c r="AC41" s="4">
        <v>20</v>
      </c>
    </row>
    <row r="42" spans="1:29" ht="63.75" thickBot="1" x14ac:dyDescent="0.3">
      <c r="A42" s="19" t="s">
        <v>39</v>
      </c>
      <c r="B42" s="20" t="s">
        <v>40</v>
      </c>
      <c r="C42" s="20" t="s">
        <v>41</v>
      </c>
      <c r="D42" s="20"/>
      <c r="E42" s="26"/>
      <c r="F42" s="26"/>
      <c r="G42" s="21"/>
      <c r="H42" s="20"/>
      <c r="I42" s="20">
        <v>2</v>
      </c>
      <c r="J42" s="20">
        <v>3</v>
      </c>
      <c r="K42" s="20">
        <v>4.5</v>
      </c>
      <c r="L42" s="20">
        <v>3</v>
      </c>
      <c r="M42" s="29">
        <f>SUM(Tabla4[[#This Row],[Nombre]:[Miguel]])</f>
        <v>12.5</v>
      </c>
      <c r="N42">
        <v>12.5</v>
      </c>
      <c r="O42" s="30"/>
      <c r="P42" s="30" t="s">
        <v>27</v>
      </c>
      <c r="Q42" s="30" t="s">
        <v>40</v>
      </c>
      <c r="Z42" s="7" t="s">
        <v>11</v>
      </c>
      <c r="AA42" s="8">
        <v>10</v>
      </c>
      <c r="AB42" s="8">
        <v>2</v>
      </c>
      <c r="AC42" s="6">
        <v>20</v>
      </c>
    </row>
    <row r="43" spans="1:29" ht="48.75" thickTop="1" thickBot="1" x14ac:dyDescent="0.3">
      <c r="A43" s="22" t="s">
        <v>42</v>
      </c>
      <c r="B43" s="23" t="s">
        <v>43</v>
      </c>
      <c r="C43" s="23" t="s">
        <v>44</v>
      </c>
      <c r="D43" s="23"/>
      <c r="E43" s="26"/>
      <c r="F43" s="26"/>
      <c r="G43" s="23"/>
      <c r="H43" s="23"/>
      <c r="I43" s="23">
        <v>2</v>
      </c>
      <c r="J43" s="23">
        <v>4</v>
      </c>
      <c r="K43" s="23">
        <v>4.5</v>
      </c>
      <c r="L43" s="23"/>
      <c r="M43" s="29">
        <f>SUM(Tabla4[[#This Row],[Nombre]:[Miguel]])</f>
        <v>10.5</v>
      </c>
      <c r="N43">
        <v>10.5</v>
      </c>
      <c r="O43" s="31"/>
      <c r="P43" s="31" t="s">
        <v>45</v>
      </c>
      <c r="Q43" s="31" t="s">
        <v>43</v>
      </c>
      <c r="Z43" s="37" t="s">
        <v>12</v>
      </c>
      <c r="AA43" s="38"/>
      <c r="AB43" s="39"/>
      <c r="AC43" s="4">
        <v>80</v>
      </c>
    </row>
    <row r="44" spans="1:29" ht="63.75" thickBot="1" x14ac:dyDescent="0.3">
      <c r="A44" s="25" t="s">
        <v>46</v>
      </c>
      <c r="B44" s="26" t="s">
        <v>47</v>
      </c>
      <c r="C44" s="26" t="s">
        <v>48</v>
      </c>
      <c r="D44" s="26"/>
      <c r="E44" s="26"/>
      <c r="F44" s="26"/>
      <c r="G44" s="27"/>
      <c r="H44" s="27"/>
      <c r="I44" s="27">
        <v>2</v>
      </c>
      <c r="J44" s="27">
        <v>2</v>
      </c>
      <c r="K44" s="27"/>
      <c r="L44" s="27"/>
      <c r="M44" s="29">
        <f>SUM(Tabla4[[#This Row],[Nombre]:[Miguel]])</f>
        <v>4</v>
      </c>
      <c r="N44">
        <v>4</v>
      </c>
      <c r="O44" s="32"/>
      <c r="P44" s="32" t="s">
        <v>49</v>
      </c>
      <c r="Q44" s="32" t="s">
        <v>47</v>
      </c>
      <c r="Z44" s="40" t="s">
        <v>13</v>
      </c>
      <c r="AA44" s="41"/>
      <c r="AB44" s="42"/>
      <c r="AC44" s="6" t="s">
        <v>14</v>
      </c>
    </row>
    <row r="45" spans="1:29" ht="18" thickTop="1" thickBot="1" x14ac:dyDescent="0.3">
      <c r="A45" s="25" t="s">
        <v>57</v>
      </c>
      <c r="B45" s="26">
        <f>SUBTOTAL(109,Tabla4[Nombre])</f>
        <v>0</v>
      </c>
      <c r="C45" s="26">
        <f>SUBTOTAL(109,Tabla4[Descripción])</f>
        <v>0</v>
      </c>
      <c r="D45" s="26"/>
      <c r="G45" s="27">
        <f>SUBTOTAL(109,Tabla4[[Notas ]])</f>
        <v>0</v>
      </c>
      <c r="H45">
        <f>SUBTOTAL(109,Tabla4[Resp])</f>
        <v>0</v>
      </c>
      <c r="I45">
        <f>SUBTOTAL(109,Tabla4[Alejandro])</f>
        <v>14</v>
      </c>
      <c r="J45">
        <f>SUBTOTAL(109,Tabla4[Diego])</f>
        <v>10.25</v>
      </c>
      <c r="K45">
        <f>SUBTOTAL(109,Tabla4[Kevin])</f>
        <v>21</v>
      </c>
      <c r="L45">
        <f>SUBTOTAL(109,Tabla4[Miguel])</f>
        <v>14</v>
      </c>
      <c r="O45" s="33">
        <f>SUBTOTAL(109,Tabla4[Velocidad real])</f>
        <v>0</v>
      </c>
      <c r="P45" s="33">
        <f>SUBTOTAL(109,Tabla4[Estimación])</f>
        <v>0</v>
      </c>
      <c r="Z45" s="43" t="s">
        <v>15</v>
      </c>
      <c r="AA45" s="44"/>
      <c r="AB45" s="45"/>
      <c r="AC45" s="4">
        <v>52</v>
      </c>
    </row>
  </sheetData>
  <mergeCells count="4">
    <mergeCell ref="Z37:AC37"/>
    <mergeCell ref="Z43:AB43"/>
    <mergeCell ref="Z44:AB44"/>
    <mergeCell ref="Z45:AB45"/>
  </mergeCells>
  <phoneticPr fontId="6" type="noConversion"/>
  <pageMargins left="0.7" right="0.7" top="0.75" bottom="0.75" header="0.3" footer="0.3"/>
  <pageSetup paperSize="9" orientation="portrait" r:id="rId1"/>
  <drawing r:id="rId2"/>
  <tableParts count="4"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33B187-DA39-47DD-8D39-AAE12C7E5E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Miguel Angel</cp:lastModifiedBy>
  <dcterms:created xsi:type="dcterms:W3CDTF">2018-03-20T12:39:00Z</dcterms:created>
  <dcterms:modified xsi:type="dcterms:W3CDTF">2020-05-20T08:51:24Z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d4f4862b-eb37-45ab-981b-5bea91d5e142</vt:lpwstr>
  </property>
</Properties>
</file>